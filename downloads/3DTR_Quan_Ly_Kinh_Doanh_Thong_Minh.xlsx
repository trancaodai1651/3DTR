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42b019d4e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Mua vào" sheetId="1" r:id="Rf43d98a360e64cfc"/>
    <x:sheet xmlns:r="http://schemas.openxmlformats.org/officeDocument/2006/relationships" name="2_Tính giá" sheetId="2" r:id="R8d7d194187a94f93"/>
    <x:sheet xmlns:r="http://schemas.openxmlformats.org/officeDocument/2006/relationships" name="3_Nhựa" sheetId="3" r:id="R2410c41127304460"/>
    <x:sheet xmlns:r="http://schemas.openxmlformats.org/officeDocument/2006/relationships" name="4_Phí sàn" sheetId="4" r:id="Rf844b9e2f9ae4634"/>
    <x:sheet xmlns:r="http://schemas.openxmlformats.org/officeDocument/2006/relationships" name="5_Danh mục" sheetId="5" r:id="R080d44bdae47428a"/>
    <x:sheet xmlns:r="http://schemas.openxmlformats.org/officeDocument/2006/relationships" name="6_Hướng dẫn" sheetId="6" r:id="Re853ed82ef5049cf"/>
    <x:sheet xmlns:r="http://schemas.openxmlformats.org/officeDocument/2006/relationships" name="7_Đơn hàng" sheetId="7" r:id="Re5dbf65f276646a0"/>
    <x:sheet xmlns:r="http://schemas.openxmlformats.org/officeDocument/2006/relationships" name="8_Rút tiền" sheetId="8" r:id="Rccb799e66e8047f9"/>
    <x:sheet xmlns:r="http://schemas.openxmlformats.org/officeDocument/2006/relationships" name="9_Sản phẩm" sheetId="9" r:id="R7278acb912704c98"/>
    <x:sheet xmlns:r="http://schemas.openxmlformats.org/officeDocument/2006/relationships" name="10_Kho nhựa" sheetId="10" r:id="R6e514dbd6f064a48"/>
    <x:sheet xmlns:r="http://schemas.openxmlformats.org/officeDocument/2006/relationships" name="11_Khách hàng" sheetId="11" r:id="R5f530d6b7e5e469d"/>
    <x:sheet xmlns:r="http://schemas.openxmlformats.org/officeDocument/2006/relationships" name="12_Đầu tư" sheetId="12" r:id="R6e1e08762fdf4184"/>
    <x:sheet xmlns:r="http://schemas.openxmlformats.org/officeDocument/2006/relationships" name="13_Tài khoản" sheetId="13" r:id="Rc3a5c69f805c43e2"/>
    <x:sheet xmlns:r="http://schemas.openxmlformats.org/officeDocument/2006/relationships" name="14_Dashboard" sheetId="14" r:id="Rc65141067b464004"/>
    <x:sheet xmlns:r="http://schemas.openxmlformats.org/officeDocument/2006/relationships" name="15_Hãng nhựa" sheetId="15" r:id="R33e65acf683e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dd/mm/yyyy"/>
    <x:numFmt numFmtId="165" formatCode="#,##0&quot; đ&quot;;[Red](#,##0&quot; đ&quot;);-"/>
    <x:numFmt numFmtId="166" formatCode="0.0%;[Red](0.0%);-"/>
    <x:numFmt numFmtId="167" formatCode="#,##0;[Red](#,##0);-"/>
    <x:numFmt numFmtId="168" formatCode="#,##0&quot; đ&quot;"/>
    <x:numFmt numFmtId="169" formatCode="0.000"/>
    <x:numFmt numFmtId="200" formatCode="#,##0.00"/>
    <x:numFmt numFmtId="201" formatCode="#,##0"/>
    <x:numFmt numFmtId="202" formatCode="0.0%"/>
  </x:numFmts>
  <x:fonts count="1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7A5C00"/>
      <x:name val="Carlito"/>
    </x:font>
    <x:font>
      <x:sz val="11"/>
      <x:color rgb="FF000000"/>
      <x:name val="Carlito"/>
    </x:font>
    <x:font>
      <x:b/>
      <x:sz val="11"/>
      <x:color rgb="FF1E3A8A"/>
      <x:name val="Carlito"/>
    </x:font>
    <x:font>
      <x:b/>
      <x:sz val="16"/>
      <x:color rgb="FFFFFFFF"/>
      <x:name val="Carlito"/>
    </x:font>
    <x:font>
      <x:sz val="11"/>
      <x:color rgb="FF065F46"/>
      <x:name val="Carlito"/>
    </x:font>
    <x:font>
      <x:b/>
      <x:sz val="16"/>
      <x:color rgb="FFFFFFFF"/>
      <x:name val="Arial"/>
    </x:font>
    <x:font>
      <x:i/>
      <x:sz val="10"/>
      <x:color rgb="FF475569"/>
      <x:name val="Arial"/>
    </x:font>
    <x:font>
      <x:b/>
      <x:sz val="11"/>
      <x:color rgb="FFFFFFFF"/>
      <x:name val="Arial"/>
    </x:font>
    <x:font>
      <x:sz val="10"/>
      <x:color rgb="FF065F46"/>
      <x:name val="Arial"/>
    </x:font>
    <x:font>
      <x:sz val="10"/>
      <x:color rgb="FF0F172A"/>
      <x:name val="Arial"/>
    </x:font>
    <x:font>
      <x:i/>
      <x:sz val="10"/>
      <x:color rgb="FF1E3A8A"/>
      <x:name val="Arial"/>
    </x:font>
    <x:font>
      <x:b/>
      <x:sz val="10"/>
      <x:color rgb="FFFFFFFF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FF2CC"/>
      </x:patternFill>
    </x:fill>
    <x:fill>
      <x:patternFill patternType="solid">
        <x:fgColor rgb="FF172554"/>
      </x:patternFill>
    </x:fill>
    <x:fill>
      <x:patternFill patternType="solid">
        <x:fgColor rgb="FFEAF2FF"/>
      </x:patternFill>
    </x:fill>
    <x:fill>
      <x:patternFill patternType="solid">
        <x:fgColor rgb="FF052E2B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0B1220"/>
      </x:patternFill>
    </x:fill>
    <x:fill>
      <x:patternFill patternType="solid">
        <x:fgColor rgb="FFFFF2CC"/>
      </x:patternFill>
    </x:fill>
  </x:fills>
  <x:borders count="4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31"/>
  </x:cellStyleXfs>
  <x:cellXfs count="62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0" fillId="0" borderId="0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17" xfId="0"/>
    <x:xf numFmtId="0" fontId="0" fillId="2" borderId="2" xfId="0"/>
    <x:xf numFmtId="0" fontId="2" fillId="2" borderId="2" xfId="0"/>
    <x:xf numFmtId="0" fontId="2" fillId="2" borderId="18" xfId="0"/>
    <x:xf numFmtId="0" fontId="2" fillId="2" borderId="18" xfId="0" applyAlignment="1">
      <x:alignment wrapText="1"/>
    </x:xf>
    <x:xf numFmtId="0" fontId="2" fillId="2" borderId="18" xfId="0" applyAlignment="1">
      <x:alignment horizontal="center" wrapText="1"/>
    </x:xf>
    <x:xf numFmtId="0" fontId="2" fillId="2" borderId="18" xfId="0" applyAlignment="1">
      <x:alignment horizontal="center" vertical="center" wrapText="1"/>
    </x:xf>
    <x:xf numFmtId="0" fontId="0" fillId="2" borderId="10" xfId="0"/>
    <x:xf numFmtId="0" fontId="2" fillId="2" borderId="10" xfId="0"/>
    <x:xf numFmtId="0" fontId="2" fillId="2" borderId="19" xfId="0"/>
    <x:xf numFmtId="0" fontId="2" fillId="2" borderId="19" xfId="0" applyAlignment="1">
      <x:alignment wrapText="1"/>
    </x:xf>
    <x:xf numFmtId="0" fontId="2" fillId="2" borderId="19" xfId="0" applyAlignment="1">
      <x:alignment horizontal="center" wrapText="1"/>
    </x:xf>
    <x:xf numFmtId="0" fontId="2" fillId="2" borderId="19" xfId="0" applyAlignment="1">
      <x:alignment horizontal="center" vertical="center" wrapText="1"/>
    </x:xf>
    <x:xf numFmtId="0" fontId="0" fillId="2" borderId="3" xfId="0"/>
    <x:xf numFmtId="0" fontId="2" fillId="2" borderId="3" xfId="0"/>
    <x:xf numFmtId="0" fontId="0" fillId="2" borderId="11" xfId="0"/>
    <x:xf numFmtId="0" fontId="2" fillId="2" borderId="11" xfId="0"/>
    <x:xf numFmtId="0" fontId="0" fillId="2" borderId="4" xfId="0"/>
    <x:xf numFmtId="0" fontId="2" fillId="2" borderId="4" xfId="0"/>
    <x:xf numFmtId="0" fontId="0" fillId="2" borderId="12" xfId="0"/>
    <x:xf numFmtId="0" fontId="2" fillId="2" borderId="12" xfId="0"/>
    <x:xf numFmtId="0" fontId="2" fillId="2" borderId="0" xfId="0"/>
    <x:xf numFmtId="0" fontId="2" fillId="2" borderId="1" xfId="0"/>
    <x:xf numFmtId="0" fontId="0" fillId="0" borderId="3" xfId="0" applyAlignment="1">
      <x:alignment wrapText="1"/>
    </x:xf>
    <x:xf numFmtId="0" fontId="0" fillId="0" borderId="0" xfId="0" applyAlignment="1">
      <x:alignment wrapText="1"/>
    </x:xf>
    <x:xf numFmtId="0" fontId="0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2" fillId="2" borderId="20" xfId="0"/>
    <x:xf numFmtId="0" fontId="2" fillId="2" borderId="21" xfId="0"/>
    <x:xf numFmtId="0" fontId="2" fillId="2" borderId="22" xfId="0"/>
    <x:xf numFmtId="0" fontId="2" fillId="2" borderId="20" xfId="0" applyAlignment="1">
      <x:alignment wrapText="1"/>
    </x:xf>
    <x:xf numFmtId="0" fontId="2" fillId="2" borderId="21" xfId="0" applyAlignment="1">
      <x:alignment wrapText="1"/>
    </x:xf>
    <x:xf numFmtId="0" fontId="2" fillId="2" borderId="22" xfId="0" applyAlignment="1">
      <x:alignment wrapText="1"/>
    </x:xf>
    <x:xf numFmtId="0" fontId="2" fillId="2" borderId="20" xfId="0" applyAlignment="1">
      <x:alignment horizontal="center" wrapText="1"/>
    </x:xf>
    <x:xf numFmtId="0" fontId="2" fillId="2" borderId="21" xfId="0" applyAlignment="1">
      <x:alignment horizontal="center" wrapText="1"/>
    </x:xf>
    <x:xf numFmtId="0" fontId="2" fillId="2" borderId="22" xfId="0" applyAlignment="1">
      <x:alignment horizontal="center" wrapText="1"/>
    </x:xf>
    <x:xf numFmtId="0" fontId="2" fillId="2" borderId="20" xfId="0" applyAlignment="1">
      <x:alignment horizontal="center" vertical="center" wrapText="1"/>
    </x:xf>
    <x:xf numFmtId="0" fontId="2" fillId="2" borderId="21" xfId="0" applyAlignment="1">
      <x:alignment horizontal="center" vertical="center" wrapText="1"/>
    </x:xf>
    <x:xf numFmtId="0" fontId="2" fillId="2" borderId="22" xfId="0" applyAlignment="1">
      <x:alignment horizontal="center" vertical="center" wrapText="1"/>
    </x:xf>
    <x:xf numFmtId="0" fontId="2" fillId="2" borderId="23" xfId="0"/>
    <x:xf numFmtId="0" fontId="2" fillId="2" borderId="24" xfId="0"/>
    <x:xf numFmtId="0" fontId="2" fillId="2" borderId="25" xfId="0"/>
    <x:xf numFmtId="0" fontId="2" fillId="2" borderId="23" xfId="0" applyAlignment="1">
      <x:alignment wrapText="1"/>
    </x:xf>
    <x:xf numFmtId="0" fontId="2" fillId="2" borderId="24" xfId="0" applyAlignment="1">
      <x:alignment wrapText="1"/>
    </x:xf>
    <x:xf numFmtId="0" fontId="2" fillId="2" borderId="25" xfId="0" applyAlignment="1">
      <x:alignment wrapText="1"/>
    </x:xf>
    <x:xf numFmtId="0" fontId="2" fillId="2" borderId="23" xfId="0" applyAlignment="1">
      <x:alignment horizontal="center" wrapText="1"/>
    </x:xf>
    <x:xf numFmtId="0" fontId="2" fillId="2" borderId="24" xfId="0" applyAlignment="1">
      <x:alignment horizontal="center" wrapText="1"/>
    </x:xf>
    <x:xf numFmtId="0" fontId="2" fillId="2" borderId="25" xfId="0" applyAlignment="1">
      <x:alignment horizontal="center" wrapText="1"/>
    </x:xf>
    <x:xf numFmtId="0" fontId="2" fillId="2" borderId="23" xfId="0" applyAlignment="1">
      <x:alignment horizontal="center" vertical="center" wrapText="1"/>
    </x:xf>
    <x:xf numFmtId="0" fontId="2" fillId="2" borderId="24" xfId="0" applyAlignment="1">
      <x:alignment horizontal="center" vertical="center" wrapText="1"/>
    </x:xf>
    <x:xf numFmtId="0" fontId="2" fillId="2" borderId="25" xfId="0" applyAlignment="1">
      <x:alignment horizontal="center" vertical="center"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0" fontId="0" fillId="3" borderId="0" xfId="0"/>
    <x:xf numFmtId="165" fontId="0" fillId="3" borderId="0" xfId="0"/>
    <x:xf numFmtId="164" fontId="0" fillId="3" borderId="0" xfId="0"/>
    <x:xf numFmtId="0" fontId="3" fillId="3" borderId="0" xfId="0"/>
    <x:xf numFmtId="165" fontId="3" fillId="3" borderId="0" xfId="0"/>
    <x:xf numFmtId="164" fontId="3" fillId="3" borderId="0" xfId="0"/>
    <x:xf numFmtId="0" fontId="3" fillId="3" borderId="2" xfId="0"/>
    <x:xf numFmtId="165" fontId="3" fillId="3" borderId="3" xfId="0"/>
    <x:xf numFmtId="164" fontId="3" fillId="3" borderId="3" xfId="0"/>
    <x:xf numFmtId="0" fontId="3" fillId="3" borderId="3" xfId="0"/>
    <x:xf numFmtId="0" fontId="3" fillId="3" borderId="4" xfId="0"/>
    <x:xf numFmtId="0" fontId="3" fillId="3" borderId="5" xfId="0"/>
    <x:xf numFmtId="0" fontId="3" fillId="3" borderId="6" xfId="0"/>
    <x:xf numFmtId="0" fontId="3" fillId="3" borderId="7" xfId="0"/>
    <x:xf numFmtId="0" fontId="3" fillId="3" borderId="8" xfId="0"/>
    <x:xf numFmtId="0" fontId="3" fillId="3" borderId="9" xfId="0"/>
    <x:xf numFmtId="0" fontId="3" fillId="3" borderId="2" xfId="0" applyAlignment="1">
      <x:alignment vertical="center"/>
    </x:xf>
    <x:xf numFmtId="165" fontId="3" fillId="3" borderId="3" xfId="0" applyAlignment="1">
      <x:alignment vertical="center"/>
    </x:xf>
    <x:xf numFmtId="164" fontId="3" fillId="3" borderId="3" xfId="0" applyAlignment="1">
      <x:alignment vertical="center"/>
    </x:xf>
    <x:xf numFmtId="0" fontId="3" fillId="3" borderId="3" xfId="0" applyAlignment="1">
      <x:alignment vertical="center"/>
    </x:xf>
    <x:xf numFmtId="0" fontId="3" fillId="3" borderId="4" xfId="0" applyAlignment="1">
      <x:alignment vertical="center"/>
    </x:xf>
    <x:xf numFmtId="0" fontId="3" fillId="3" borderId="5" xfId="0" applyAlignment="1">
      <x:alignment vertical="center"/>
    </x:xf>
    <x:xf numFmtId="165" fontId="3" fillId="3" borderId="0" xfId="0" applyAlignment="1">
      <x:alignment vertical="center"/>
    </x:xf>
    <x:xf numFmtId="164" fontId="3" fillId="3" borderId="0" xfId="0" applyAlignment="1">
      <x:alignment vertical="center"/>
    </x:xf>
    <x:xf numFmtId="0" fontId="3" fillId="3" borderId="0" xfId="0" applyAlignment="1">
      <x:alignment vertical="center"/>
    </x:xf>
    <x:xf numFmtId="0" fontId="3" fillId="3" borderId="6" xfId="0" applyAlignment="1">
      <x:alignment vertical="center"/>
    </x:xf>
    <x:xf numFmtId="0" fontId="3" fillId="3" borderId="7" xfId="0" applyAlignment="1">
      <x:alignment vertical="center"/>
    </x:xf>
    <x:xf numFmtId="0" fontId="3" fillId="3" borderId="8" xfId="0" applyAlignment="1">
      <x:alignment vertical="center"/>
    </x:xf>
    <x:xf numFmtId="0" fontId="3" fillId="3" borderId="9" xfId="0" applyAlignment="1">
      <x:alignment vertical="center"/>
    </x:xf>
    <x:xf numFmtId="0" fontId="0" fillId="3" borderId="1" xfId="0"/>
    <x:xf numFmtId="165" fontId="0" fillId="3" borderId="1" xfId="0"/>
    <x:xf numFmtId="164" fontId="0" fillId="3" borderId="1" xfId="0"/>
    <x:xf numFmtId="0" fontId="3" fillId="3" borderId="1" xfId="0"/>
    <x:xf numFmtId="165" fontId="3" fillId="3" borderId="1" xfId="0"/>
    <x:xf numFmtId="164" fontId="3" fillId="3" borderId="1" xfId="0"/>
    <x:xf numFmtId="0" fontId="3" fillId="3" borderId="10" xfId="0"/>
    <x:xf numFmtId="165" fontId="3" fillId="3" borderId="11" xfId="0"/>
    <x:xf numFmtId="164" fontId="3" fillId="3" borderId="11" xfId="0"/>
    <x:xf numFmtId="0" fontId="3" fillId="3" borderId="11" xfId="0"/>
    <x:xf numFmtId="0" fontId="3" fillId="3" borderId="12" xfId="0"/>
    <x:xf numFmtId="0" fontId="3" fillId="3" borderId="13" xfId="0"/>
    <x:xf numFmtId="0" fontId="3" fillId="3" borderId="14" xfId="0"/>
    <x:xf numFmtId="0" fontId="3" fillId="3" borderId="15" xfId="0"/>
    <x:xf numFmtId="0" fontId="3" fillId="3" borderId="16" xfId="0"/>
    <x:xf numFmtId="0" fontId="3" fillId="3" borderId="17" xfId="0"/>
    <x:xf numFmtId="0" fontId="3" fillId="3" borderId="10" xfId="0" applyAlignment="1">
      <x:alignment vertical="center"/>
    </x:xf>
    <x:xf numFmtId="165" fontId="3" fillId="3" borderId="11" xfId="0" applyAlignment="1">
      <x:alignment vertical="center"/>
    </x:xf>
    <x:xf numFmtId="164" fontId="3" fillId="3" borderId="11" xfId="0" applyAlignment="1">
      <x:alignment vertical="center"/>
    </x:xf>
    <x:xf numFmtId="0" fontId="3" fillId="3" borderId="11" xfId="0" applyAlignment="1">
      <x:alignment vertical="center"/>
    </x:xf>
    <x:xf numFmtId="0" fontId="3" fillId="3" borderId="12" xfId="0" applyAlignment="1">
      <x:alignment vertical="center"/>
    </x:xf>
    <x:xf numFmtId="0" fontId="3" fillId="3" borderId="13" xfId="0" applyAlignment="1">
      <x:alignment vertical="center"/>
    </x:xf>
    <x:xf numFmtId="165" fontId="3" fillId="3" borderId="1" xfId="0" applyAlignment="1">
      <x:alignment vertical="center"/>
    </x:xf>
    <x:xf numFmtId="164" fontId="3" fillId="3" borderId="1" xfId="0" applyAlignment="1">
      <x:alignment vertical="center"/>
    </x:xf>
    <x:xf numFmtId="0" fontId="3" fillId="3" borderId="1" xfId="0" applyAlignment="1">
      <x:alignment vertical="center"/>
    </x:xf>
    <x:xf numFmtId="0" fontId="3" fillId="3" borderId="14" xfId="0" applyAlignment="1">
      <x:alignment vertical="center"/>
    </x:xf>
    <x:xf numFmtId="0" fontId="3" fillId="3" borderId="15" xfId="0" applyAlignment="1">
      <x:alignment vertical="center"/>
    </x:xf>
    <x:xf numFmtId="0" fontId="3" fillId="3" borderId="16" xfId="0" applyAlignment="1">
      <x:alignment vertical="center"/>
    </x:xf>
    <x:xf numFmtId="0" fontId="3" fillId="3" borderId="17" xfId="0" applyAlignment="1">
      <x:alignment vertical="center"/>
    </x:xf>
    <x:xf numFmtId="0" fontId="0" fillId="4" borderId="0" xfId="0"/>
    <x:xf numFmtId="0" fontId="4" fillId="4" borderId="0" xfId="0"/>
    <x:xf numFmtId="0" fontId="4" fillId="4" borderId="0" xfId="0" applyAlignment="1">
      <x:alignment horizontal="left"/>
    </x:xf>
    <x:xf numFmtId="0" fontId="4" fillId="4" borderId="0" xfId="0" applyAlignment="1">
      <x:alignment horizontal="left" vertical="center"/>
    </x:xf>
    <x:xf numFmtId="0" fontId="0" fillId="4" borderId="1" xfId="0"/>
    <x:xf numFmtId="0" fontId="4" fillId="4" borderId="1" xfId="0"/>
    <x:xf numFmtId="0" fontId="4" fillId="4" borderId="1" xfId="0" applyAlignment="1">
      <x:alignment horizontal="left"/>
    </x:xf>
    <x:xf numFmtId="0" fontId="4" fillId="4" borderId="1" xfId="0" applyAlignment="1">
      <x:alignment horizontal="left" vertical="center"/>
    </x:xf>
    <x:xf numFmtId="0" fontId="5" fillId="0" borderId="0" xfId="0"/>
    <x:xf numFmtId="0" fontId="5" fillId="0" borderId="1" xfId="0"/>
    <x:xf numFmtId="0" fontId="4" fillId="4" borderId="2" xfId="0" applyAlignment="1">
      <x:alignment horizontal="left" vertical="center"/>
    </x:xf>
    <x:xf numFmtId="0" fontId="4" fillId="4" borderId="3" xfId="0" applyAlignment="1">
      <x:alignment horizontal="left" vertical="center"/>
    </x:xf>
    <x:xf numFmtId="0" fontId="4" fillId="4" borderId="4" xfId="0" applyAlignment="1">
      <x:alignment horizontal="left" vertical="center"/>
    </x:xf>
    <x:xf numFmtId="0" fontId="5" fillId="0" borderId="5" xfId="0"/>
    <x:xf numFmtId="0" fontId="4" fillId="4" borderId="10" xfId="0" applyAlignment="1">
      <x:alignment horizontal="left" vertical="center"/>
    </x:xf>
    <x:xf numFmtId="0" fontId="4" fillId="4" borderId="11" xfId="0" applyAlignment="1">
      <x:alignment horizontal="left" vertical="center"/>
    </x:xf>
    <x:xf numFmtId="0" fontId="4" fillId="4" borderId="12" xfId="0" applyAlignment="1">
      <x:alignment horizontal="left" vertical="center"/>
    </x:xf>
    <x:xf numFmtId="0" fontId="5" fillId="0" borderId="13" xfId="0"/>
    <x:xf numFmtId="0" fontId="6" fillId="0" borderId="0" xfId="0"/>
    <x:xf numFmtId="0" fontId="6" fillId="0" borderId="1" xfId="0"/>
    <x:xf numFmtId="166" fontId="0" fillId="0" borderId="0" xfId="0"/>
    <x:xf numFmtId="166" fontId="0" fillId="0" borderId="1" xfId="0"/>
    <x:xf numFmtId="0" fontId="6" fillId="0" borderId="5" xfId="0"/>
    <x:xf numFmtId="0" fontId="6" fillId="0" borderId="7" xfId="0"/>
    <x:xf numFmtId="166" fontId="0" fillId="0" borderId="8" xfId="0"/>
    <x:xf numFmtId="165" fontId="0" fillId="0" borderId="8" xfId="0"/>
    <x:xf numFmtId="164" fontId="0" fillId="0" borderId="8" xfId="0"/>
    <x:xf numFmtId="0" fontId="6" fillId="0" borderId="13" xfId="0"/>
    <x:xf numFmtId="0" fontId="6" fillId="0" borderId="15" xfId="0"/>
    <x:xf numFmtId="166" fontId="0" fillId="0" borderId="16" xfId="0"/>
    <x:xf numFmtId="165" fontId="0" fillId="0" borderId="16" xfId="0"/>
    <x:xf numFmtId="164" fontId="0" fillId="0" borderId="16" xfId="0"/>
    <x:xf numFmtId="0" fontId="1" fillId="2" borderId="0" xfId="0" applyAlignment="1">
      <x:alignment horizontal="left" vertical="center" wrapText="1"/>
    </x:xf>
    <x:xf numFmtId="0" fontId="1" fillId="2" borderId="1" xfId="0" applyAlignment="1">
      <x:alignment horizontal="left" vertical="center" wrapText="1"/>
    </x:xf>
    <x:xf numFmtId="0" fontId="5" fillId="0" borderId="7" xfId="0"/>
    <x:xf numFmtId="0" fontId="5" fillId="0" borderId="15" xfId="0"/>
    <x:xf numFmtId="0" fontId="7" fillId="3" borderId="0" xfId="0"/>
    <x:xf numFmtId="0" fontId="7" fillId="3" borderId="0" xfId="0" applyAlignment="1">
      <x:alignment wrapText="1"/>
    </x:xf>
    <x:xf numFmtId="0" fontId="7" fillId="3" borderId="1" xfId="0"/>
    <x:xf numFmtId="0" fontId="7" fillId="3" borderId="1" xfId="0" applyAlignment="1">
      <x:alignment wrapText="1"/>
    </x:xf>
    <x:xf numFmtId="167" fontId="0" fillId="0" borderId="0" xfId="0"/>
    <x:xf numFmtId="167" fontId="0" fillId="0" borderId="1" xfId="0"/>
    <x:xf numFmtId="167" fontId="0" fillId="3" borderId="0" xfId="0"/>
    <x:xf numFmtId="167" fontId="3" fillId="3" borderId="0" xfId="0"/>
    <x:xf numFmtId="164" fontId="3" fillId="3" borderId="2" xfId="0"/>
    <x:xf numFmtId="167" fontId="3" fillId="3" borderId="3" xfId="0"/>
    <x:xf numFmtId="165" fontId="3" fillId="3" borderId="4" xfId="0"/>
    <x:xf numFmtId="164" fontId="3" fillId="3" borderId="5" xfId="0"/>
    <x:xf numFmtId="165" fontId="3" fillId="3" borderId="6" xfId="0"/>
    <x:xf numFmtId="164" fontId="3" fillId="3" borderId="7" xfId="0"/>
    <x:xf numFmtId="167" fontId="3" fillId="3" borderId="8" xfId="0"/>
    <x:xf numFmtId="165" fontId="3" fillId="3" borderId="9" xfId="0"/>
    <x:xf numFmtId="164" fontId="3" fillId="3" borderId="2" xfId="0" applyAlignment="1">
      <x:alignment vertical="center"/>
    </x:xf>
    <x:xf numFmtId="167" fontId="3" fillId="3" borderId="3" xfId="0" applyAlignment="1">
      <x:alignment vertical="center"/>
    </x:xf>
    <x:xf numFmtId="165" fontId="3" fillId="3" borderId="4" xfId="0" applyAlignment="1">
      <x:alignment vertical="center"/>
    </x:xf>
    <x:xf numFmtId="164" fontId="3" fillId="3" borderId="5" xfId="0" applyAlignment="1">
      <x:alignment vertical="center"/>
    </x:xf>
    <x:xf numFmtId="167" fontId="3" fillId="3" borderId="0" xfId="0" applyAlignment="1">
      <x:alignment vertical="center"/>
    </x:xf>
    <x:xf numFmtId="165" fontId="3" fillId="3" borderId="6" xfId="0" applyAlignment="1">
      <x:alignment vertical="center"/>
    </x:xf>
    <x:xf numFmtId="164" fontId="3" fillId="3" borderId="7" xfId="0" applyAlignment="1">
      <x:alignment vertical="center"/>
    </x:xf>
    <x:xf numFmtId="167" fontId="3" fillId="3" borderId="8" xfId="0" applyAlignment="1">
      <x:alignment vertical="center"/>
    </x:xf>
    <x:xf numFmtId="165" fontId="3" fillId="3" borderId="9" xfId="0" applyAlignment="1">
      <x:alignment vertical="center"/>
    </x:xf>
    <x:xf numFmtId="167" fontId="0" fillId="3" borderId="1" xfId="0"/>
    <x:xf numFmtId="167" fontId="3" fillId="3" borderId="1" xfId="0"/>
    <x:xf numFmtId="164" fontId="3" fillId="3" borderId="10" xfId="0"/>
    <x:xf numFmtId="167" fontId="3" fillId="3" borderId="11" xfId="0"/>
    <x:xf numFmtId="165" fontId="3" fillId="3" borderId="12" xfId="0"/>
    <x:xf numFmtId="164" fontId="3" fillId="3" borderId="13" xfId="0"/>
    <x:xf numFmtId="165" fontId="3" fillId="3" borderId="14" xfId="0"/>
    <x:xf numFmtId="164" fontId="3" fillId="3" borderId="15" xfId="0"/>
    <x:xf numFmtId="167" fontId="3" fillId="3" borderId="16" xfId="0"/>
    <x:xf numFmtId="165" fontId="3" fillId="3" borderId="17" xfId="0"/>
    <x:xf numFmtId="164" fontId="3" fillId="3" borderId="10" xfId="0" applyAlignment="1">
      <x:alignment vertical="center"/>
    </x:xf>
    <x:xf numFmtId="167" fontId="3" fillId="3" borderId="11" xfId="0" applyAlignment="1">
      <x:alignment vertical="center"/>
    </x:xf>
    <x:xf numFmtId="165" fontId="3" fillId="3" borderId="12" xfId="0" applyAlignment="1">
      <x:alignment vertical="center"/>
    </x:xf>
    <x:xf numFmtId="164" fontId="3" fillId="3" borderId="13" xfId="0" applyAlignment="1">
      <x:alignment vertical="center"/>
    </x:xf>
    <x:xf numFmtId="167" fontId="3" fillId="3" borderId="1" xfId="0" applyAlignment="1">
      <x:alignment vertical="center"/>
    </x:xf>
    <x:xf numFmtId="165" fontId="3" fillId="3" borderId="14" xfId="0" applyAlignment="1">
      <x:alignment vertical="center"/>
    </x:xf>
    <x:xf numFmtId="164" fontId="3" fillId="3" borderId="15" xfId="0" applyAlignment="1">
      <x:alignment vertical="center"/>
    </x:xf>
    <x:xf numFmtId="167" fontId="3" fillId="3" borderId="16" xfId="0" applyAlignment="1">
      <x:alignment vertical="center"/>
    </x:xf>
    <x:xf numFmtId="165" fontId="3" fillId="3" borderId="17" xfId="0" applyAlignment="1">
      <x:alignment vertical="center"/>
    </x:xf>
    <x:xf numFmtId="165" fontId="3" fillId="3" borderId="2" xfId="0"/>
    <x:xf numFmtId="165" fontId="3" fillId="3" borderId="5" xfId="0"/>
    <x:xf numFmtId="165" fontId="3" fillId="3" borderId="7" xfId="0"/>
    <x:xf numFmtId="165" fontId="3" fillId="3" borderId="2" xfId="0" applyAlignment="1">
      <x:alignment vertical="center"/>
    </x:xf>
    <x:xf numFmtId="165" fontId="3" fillId="3" borderId="5" xfId="0" applyAlignment="1">
      <x:alignment vertical="center"/>
    </x:xf>
    <x:xf numFmtId="165" fontId="3" fillId="3" borderId="7" xfId="0" applyAlignment="1">
      <x:alignment vertical="center"/>
    </x:xf>
    <x:xf numFmtId="165" fontId="3" fillId="3" borderId="10" xfId="0"/>
    <x:xf numFmtId="165" fontId="3" fillId="3" borderId="13" xfId="0"/>
    <x:xf numFmtId="165" fontId="3" fillId="3" borderId="15" xfId="0"/>
    <x:xf numFmtId="165" fontId="3" fillId="3" borderId="10" xfId="0" applyAlignment="1">
      <x:alignment vertical="center"/>
    </x:xf>
    <x:xf numFmtId="165" fontId="3" fillId="3" borderId="13" xfId="0" applyAlignment="1">
      <x:alignment vertical="center"/>
    </x:xf>
    <x:xf numFmtId="165" fontId="3" fillId="3" borderId="15" xfId="0" applyAlignment="1">
      <x:alignment vertical="center"/>
    </x:xf>
    <x:xf numFmtId="165" fontId="8" fillId="0" borderId="0" xfId="0"/>
    <x:xf numFmtId="165" fontId="8" fillId="0" borderId="26" xfId="0"/>
    <x:xf numFmtId="165" fontId="8" fillId="0" borderId="27" xfId="0"/>
    <x:xf numFmtId="165" fontId="8" fillId="0" borderId="28" xfId="0"/>
    <x:xf numFmtId="165" fontId="8" fillId="0" borderId="26" xfId="0" applyAlignment="1">
      <x:alignment vertical="center"/>
    </x:xf>
    <x:xf numFmtId="165" fontId="8" fillId="0" borderId="27" xfId="0" applyAlignment="1">
      <x:alignment vertical="center"/>
    </x:xf>
    <x:xf numFmtId="165" fontId="8" fillId="0" borderId="28" xfId="0" applyAlignment="1">
      <x:alignment vertical="center"/>
    </x:xf>
    <x:xf numFmtId="165" fontId="8" fillId="0" borderId="1" xfId="0"/>
    <x:xf numFmtId="165" fontId="8" fillId="0" borderId="29" xfId="0"/>
    <x:xf numFmtId="165" fontId="8" fillId="0" borderId="30" xfId="0"/>
    <x:xf numFmtId="165" fontId="8" fillId="0" borderId="31" xfId="0"/>
    <x:xf numFmtId="165" fontId="8" fillId="0" borderId="29" xfId="0" applyAlignment="1">
      <x:alignment vertical="center"/>
    </x:xf>
    <x:xf numFmtId="165" fontId="8" fillId="0" borderId="30" xfId="0" applyAlignment="1">
      <x:alignment vertical="center"/>
    </x:xf>
    <x:xf numFmtId="165" fontId="8" fillId="0" borderId="31" xfId="0" applyAlignment="1">
      <x:alignment vertical="center"/>
    </x:xf>
    <x:xf numFmtId="0" fontId="8" fillId="0" borderId="0" xfId="0"/>
    <x:xf numFmtId="0" fontId="8" fillId="0" borderId="26" xfId="0"/>
    <x:xf numFmtId="0" fontId="8" fillId="0" borderId="27" xfId="0"/>
    <x:xf numFmtId="0" fontId="8" fillId="0" borderId="28" xfId="0"/>
    <x:xf numFmtId="0" fontId="8" fillId="0" borderId="26" xfId="0" applyAlignment="1">
      <x:alignment vertical="center"/>
    </x:xf>
    <x:xf numFmtId="0" fontId="8" fillId="0" borderId="27" xfId="0" applyAlignment="1">
      <x:alignment vertical="center"/>
    </x:xf>
    <x:xf numFmtId="0" fontId="8" fillId="0" borderId="28" xfId="0" applyAlignment="1">
      <x:alignment vertical="center"/>
    </x:xf>
    <x:xf numFmtId="0" fontId="8" fillId="0" borderId="1" xfId="0"/>
    <x:xf numFmtId="0" fontId="8" fillId="0" borderId="29" xfId="0"/>
    <x:xf numFmtId="0" fontId="8" fillId="0" borderId="30" xfId="0"/>
    <x:xf numFmtId="0" fontId="8" fillId="0" borderId="31" xfId="0"/>
    <x:xf numFmtId="0" fontId="8" fillId="0" borderId="29" xfId="0" applyAlignment="1">
      <x:alignment vertical="center"/>
    </x:xf>
    <x:xf numFmtId="0" fontId="8" fillId="0" borderId="30" xfId="0" applyAlignment="1">
      <x:alignment vertical="center"/>
    </x:xf>
    <x:xf numFmtId="0" fontId="8" fillId="0" borderId="31" xfId="0" applyAlignment="1">
      <x:alignment vertical="center"/>
    </x:xf>
    <x:xf numFmtId="167" fontId="8" fillId="0" borderId="0" xfId="0"/>
    <x:xf numFmtId="167" fontId="8" fillId="0" borderId="27" xfId="0"/>
    <x:xf numFmtId="167" fontId="8" fillId="0" borderId="28" xfId="0"/>
    <x:xf numFmtId="167" fontId="8" fillId="0" borderId="27" xfId="0" applyAlignment="1">
      <x:alignment vertical="center"/>
    </x:xf>
    <x:xf numFmtId="167" fontId="8" fillId="0" borderId="28" xfId="0" applyAlignment="1">
      <x:alignment vertical="center"/>
    </x:xf>
    <x:xf numFmtId="167" fontId="8" fillId="0" borderId="1" xfId="0"/>
    <x:xf numFmtId="167" fontId="8" fillId="0" borderId="30" xfId="0"/>
    <x:xf numFmtId="167" fontId="8" fillId="0" borderId="31" xfId="0"/>
    <x:xf numFmtId="167" fontId="8" fillId="0" borderId="30" xfId="0" applyAlignment="1">
      <x:alignment vertical="center"/>
    </x:xf>
    <x:xf numFmtId="167" fontId="8" fillId="0" borderId="31" xfId="0" applyAlignment="1">
      <x:alignment vertical="center"/>
    </x:xf>
    <x:xf numFmtId="0" fontId="3" fillId="3" borderId="18" xfId="0"/>
    <x:xf numFmtId="0" fontId="3" fillId="3" borderId="18" xfId="0" applyAlignment="1">
      <x:alignment vertical="center"/>
    </x:xf>
    <x:xf numFmtId="0" fontId="3" fillId="3" borderId="19" xfId="0"/>
    <x:xf numFmtId="0" fontId="3" fillId="3" borderId="19" xfId="0" applyAlignment="1">
      <x:alignment vertical="center"/>
    </x:xf>
    <x:xf numFmtId="0" fontId="0" fillId="5" borderId="0" xfId="0"/>
    <x:xf numFmtId="0" fontId="9" fillId="5" borderId="0" xfId="0"/>
    <x:xf numFmtId="0" fontId="9" fillId="5" borderId="0" xfId="0" applyAlignment="1">
      <x:alignment wrapText="1"/>
    </x:xf>
    <x:xf numFmtId="0" fontId="0" fillId="5" borderId="1" xfId="0"/>
    <x:xf numFmtId="0" fontId="9" fillId="5" borderId="1" xfId="0"/>
    <x:xf numFmtId="0" fontId="9" fillId="5" borderId="1" xfId="0" applyAlignment="1">
      <x:alignment wrapText="1"/>
    </x:xf>
    <x:xf numFmtId="166" fontId="0" fillId="3" borderId="0" xfId="0"/>
    <x:xf numFmtId="166" fontId="3" fillId="3" borderId="0" xfId="0"/>
    <x:xf numFmtId="166" fontId="3" fillId="3" borderId="18" xfId="0"/>
    <x:xf numFmtId="166" fontId="3" fillId="3" borderId="18" xfId="0" applyAlignment="1">
      <x:alignment vertical="center"/>
    </x:xf>
    <x:xf numFmtId="166" fontId="0" fillId="3" borderId="1" xfId="0"/>
    <x:xf numFmtId="166" fontId="3" fillId="3" borderId="1" xfId="0"/>
    <x:xf numFmtId="166" fontId="3" fillId="3" borderId="19" xfId="0"/>
    <x:xf numFmtId="166" fontId="3" fillId="3" borderId="19" xfId="0" applyAlignment="1">
      <x:alignment vertical="center"/>
    </x:xf>
    <x:xf numFmtId="165" fontId="3" fillId="3" borderId="18" xfId="0"/>
    <x:xf numFmtId="165" fontId="3" fillId="3" borderId="18" xfId="0" applyAlignment="1">
      <x:alignment vertical="center"/>
    </x:xf>
    <x:xf numFmtId="165" fontId="3" fillId="3" borderId="19" xfId="0"/>
    <x:xf numFmtId="165" fontId="3" fillId="3" borderId="19" xfId="0" applyAlignment="1">
      <x:alignment vertical="center"/>
    </x:xf>
    <x:xf numFmtId="165" fontId="3" fillId="3" borderId="26" xfId="0"/>
    <x:xf numFmtId="166" fontId="3" fillId="3" borderId="28" xfId="0"/>
    <x:xf numFmtId="165" fontId="3" fillId="3" borderId="26" xfId="0" applyAlignment="1">
      <x:alignment vertical="center"/>
    </x:xf>
    <x:xf numFmtId="166" fontId="3" fillId="3" borderId="28" xfId="0" applyAlignment="1">
      <x:alignment vertical="center"/>
    </x:xf>
    <x:xf numFmtId="165" fontId="3" fillId="3" borderId="29" xfId="0"/>
    <x:xf numFmtId="166" fontId="3" fillId="3" borderId="31" xfId="0"/>
    <x:xf numFmtId="165" fontId="3" fillId="3" borderId="29" xfId="0" applyAlignment="1">
      <x:alignment vertical="center"/>
    </x:xf>
    <x:xf numFmtId="166" fontId="3" fillId="3" borderId="31" xfId="0" applyAlignment="1">
      <x:alignment vertical="center"/>
    </x:xf>
    <x:xf numFmtId="166" fontId="8" fillId="0" borderId="0" xfId="0"/>
    <x:xf numFmtId="165" fontId="8" fillId="0" borderId="2" xfId="0"/>
    <x:xf numFmtId="0" fontId="8" fillId="0" borderId="3" xfId="0"/>
    <x:xf numFmtId="165" fontId="8" fillId="0" borderId="4" xfId="0"/>
    <x:xf numFmtId="166" fontId="8" fillId="0" borderId="5" xfId="0"/>
    <x:xf numFmtId="165" fontId="8" fillId="0" borderId="6" xfId="0"/>
    <x:xf numFmtId="165" fontId="8" fillId="0" borderId="5" xfId="0"/>
    <x:xf numFmtId="165" fontId="8" fillId="0" borderId="7" xfId="0"/>
    <x:xf numFmtId="0" fontId="8" fillId="0" borderId="8" xfId="0"/>
    <x:xf numFmtId="165" fontId="8" fillId="0" borderId="9" xfId="0"/>
    <x:xf numFmtId="165" fontId="8" fillId="0" borderId="2" xfId="0" applyAlignment="1">
      <x:alignment vertical="center"/>
    </x:xf>
    <x:xf numFmtId="0" fontId="8" fillId="0" borderId="3" xfId="0" applyAlignment="1">
      <x:alignment vertical="center"/>
    </x:xf>
    <x:xf numFmtId="165" fontId="8" fillId="0" borderId="4" xfId="0" applyAlignment="1">
      <x:alignment vertical="center"/>
    </x:xf>
    <x:xf numFmtId="166" fontId="8" fillId="0" borderId="5" xfId="0" applyAlignment="1">
      <x:alignment vertical="center"/>
    </x:xf>
    <x:xf numFmtId="0" fontId="8" fillId="0" borderId="0" xfId="0" applyAlignment="1">
      <x:alignment vertical="center"/>
    </x:xf>
    <x:xf numFmtId="165" fontId="8" fillId="0" borderId="6" xfId="0" applyAlignment="1">
      <x:alignment vertical="center"/>
    </x:xf>
    <x:xf numFmtId="165" fontId="8" fillId="0" borderId="5" xfId="0" applyAlignment="1">
      <x:alignment vertical="center"/>
    </x:xf>
    <x:xf numFmtId="165" fontId="8" fillId="0" borderId="7" xfId="0" applyAlignment="1">
      <x:alignment vertical="center"/>
    </x:xf>
    <x:xf numFmtId="0" fontId="8" fillId="0" borderId="8" xfId="0" applyAlignment="1">
      <x:alignment vertical="center"/>
    </x:xf>
    <x:xf numFmtId="165" fontId="8" fillId="0" borderId="9" xfId="0" applyAlignment="1">
      <x:alignment vertical="center"/>
    </x:xf>
    <x:xf numFmtId="166" fontId="8" fillId="0" borderId="1" xfId="0"/>
    <x:xf numFmtId="165" fontId="8" fillId="0" borderId="10" xfId="0"/>
    <x:xf numFmtId="0" fontId="8" fillId="0" borderId="11" xfId="0"/>
    <x:xf numFmtId="165" fontId="8" fillId="0" borderId="12" xfId="0"/>
    <x:xf numFmtId="166" fontId="8" fillId="0" borderId="13" xfId="0"/>
    <x:xf numFmtId="165" fontId="8" fillId="0" borderId="14" xfId="0"/>
    <x:xf numFmtId="165" fontId="8" fillId="0" borderId="13" xfId="0"/>
    <x:xf numFmtId="165" fontId="8" fillId="0" borderId="15" xfId="0"/>
    <x:xf numFmtId="0" fontId="8" fillId="0" borderId="16" xfId="0"/>
    <x:xf numFmtId="165" fontId="8" fillId="0" borderId="17" xfId="0"/>
    <x:xf numFmtId="165" fontId="8" fillId="0" borderId="10" xfId="0" applyAlignment="1">
      <x:alignment vertical="center"/>
    </x:xf>
    <x:xf numFmtId="0" fontId="8" fillId="0" borderId="11" xfId="0" applyAlignment="1">
      <x:alignment vertical="center"/>
    </x:xf>
    <x:xf numFmtId="165" fontId="8" fillId="0" borderId="12" xfId="0" applyAlignment="1">
      <x:alignment vertical="center"/>
    </x:xf>
    <x:xf numFmtId="166" fontId="8" fillId="0" borderId="13" xfId="0" applyAlignment="1">
      <x:alignment vertical="center"/>
    </x:xf>
    <x:xf numFmtId="0" fontId="8" fillId="0" borderId="1" xfId="0" applyAlignment="1">
      <x:alignment vertical="center"/>
    </x:xf>
    <x:xf numFmtId="165" fontId="8" fillId="0" borderId="14" xfId="0" applyAlignment="1">
      <x:alignment vertical="center"/>
    </x:xf>
    <x:xf numFmtId="165" fontId="8" fillId="0" borderId="13" xfId="0" applyAlignment="1">
      <x:alignment vertical="center"/>
    </x:xf>
    <x:xf numFmtId="165" fontId="8" fillId="0" borderId="15" xfId="0" applyAlignment="1">
      <x:alignment vertical="center"/>
    </x:xf>
    <x:xf numFmtId="0" fontId="8" fillId="0" borderId="16" xfId="0" applyAlignment="1">
      <x:alignment vertical="center"/>
    </x:xf>
    <x:xf numFmtId="165" fontId="8" fillId="0" borderId="17" xfId="0" applyAlignment="1">
      <x:alignment vertical="center"/>
    </x:xf>
    <x:xf numFmtId="0" fontId="3" fillId="3" borderId="26" xfId="0"/>
    <x:xf numFmtId="0" fontId="3" fillId="3" borderId="27" xfId="0"/>
    <x:xf numFmtId="0" fontId="3" fillId="3" borderId="28" xfId="0"/>
    <x:xf numFmtId="0" fontId="3" fillId="3" borderId="26" xfId="0" applyAlignment="1">
      <x:alignment vertical="center"/>
    </x:xf>
    <x:xf numFmtId="0" fontId="3" fillId="3" borderId="27" xfId="0" applyAlignment="1">
      <x:alignment vertical="center"/>
    </x:xf>
    <x:xf numFmtId="0" fontId="3" fillId="3" borderId="28" xfId="0" applyAlignment="1">
      <x:alignment vertical="center"/>
    </x:xf>
    <x:xf numFmtId="0" fontId="3" fillId="3" borderId="29" xfId="0"/>
    <x:xf numFmtId="0" fontId="3" fillId="3" borderId="30" xfId="0"/>
    <x:xf numFmtId="0" fontId="3" fillId="3" borderId="31" xfId="0"/>
    <x:xf numFmtId="0" fontId="3" fillId="3" borderId="29" xfId="0" applyAlignment="1">
      <x:alignment vertical="center"/>
    </x:xf>
    <x:xf numFmtId="0" fontId="3" fillId="3" borderId="30" xfId="0" applyAlignment="1">
      <x:alignment vertical="center"/>
    </x:xf>
    <x:xf numFmtId="0" fontId="3" fillId="3" borderId="31" xfId="0" applyAlignment="1">
      <x:alignment vertical="center"/>
    </x:xf>
    <x:xf numFmtId="0" fontId="6" fillId="0" borderId="26" xfId="0"/>
    <x:xf numFmtId="0" fontId="6" fillId="0" borderId="27" xfId="0"/>
    <x:xf numFmtId="0" fontId="6" fillId="0" borderId="28" xfId="0"/>
    <x:xf numFmtId="0" fontId="6" fillId="0" borderId="26" xfId="0" applyAlignment="1">
      <x:alignment vertical="center"/>
    </x:xf>
    <x:xf numFmtId="0" fontId="6" fillId="0" borderId="27" xfId="0" applyAlignment="1">
      <x:alignment vertical="center"/>
    </x:xf>
    <x:xf numFmtId="0" fontId="6" fillId="0" borderId="28" xfId="0" applyAlignment="1">
      <x:alignment vertical="center"/>
    </x:xf>
    <x:xf numFmtId="0" fontId="6" fillId="0" borderId="29" xfId="0"/>
    <x:xf numFmtId="0" fontId="6" fillId="0" borderId="30" xfId="0"/>
    <x:xf numFmtId="0" fontId="6" fillId="0" borderId="31" xfId="0"/>
    <x:xf numFmtId="0" fontId="6" fillId="0" borderId="29" xfId="0" applyAlignment="1">
      <x:alignment vertical="center"/>
    </x:xf>
    <x:xf numFmtId="0" fontId="6" fillId="0" borderId="30" xfId="0" applyAlignment="1">
      <x:alignment vertical="center"/>
    </x:xf>
    <x:xf numFmtId="0" fontId="6" fillId="0" borderId="31" xfId="0" applyAlignment="1">
      <x:alignment vertical="center"/>
    </x:xf>
    <x:xf numFmtId="167" fontId="3" fillId="3" borderId="26" xfId="0" applyAlignment="1">
      <x:alignment vertical="center"/>
    </x:xf>
    <x:xf numFmtId="167" fontId="3" fillId="3" borderId="27" xfId="0" applyAlignment="1">
      <x:alignment vertical="center"/>
    </x:xf>
    <x:xf numFmtId="167" fontId="3" fillId="3" borderId="28" xfId="0" applyAlignment="1">
      <x:alignment vertical="center"/>
    </x:xf>
    <x:xf numFmtId="167" fontId="3" fillId="3" borderId="29" xfId="0" applyAlignment="1">
      <x:alignment vertical="center"/>
    </x:xf>
    <x:xf numFmtId="167" fontId="3" fillId="3" borderId="30" xfId="0" applyAlignment="1">
      <x:alignment vertical="center"/>
    </x:xf>
    <x:xf numFmtId="167" fontId="3" fillId="3" borderId="31" xfId="0" applyAlignment="1">
      <x:alignment vertical="center"/>
    </x:xf>
    <x:xf numFmtId="166" fontId="3" fillId="3" borderId="26" xfId="0" applyAlignment="1">
      <x:alignment vertical="center"/>
    </x:xf>
    <x:xf numFmtId="166" fontId="3" fillId="3" borderId="27" xfId="0" applyAlignment="1">
      <x:alignment vertical="center"/>
    </x:xf>
    <x:xf numFmtId="166" fontId="3" fillId="3" borderId="29" xfId="0" applyAlignment="1">
      <x:alignment vertical="center"/>
    </x:xf>
    <x:xf numFmtId="166" fontId="3" fillId="3" borderId="30" xfId="0" applyAlignment="1">
      <x:alignment vertical="center"/>
    </x:xf>
    <x:xf numFmtId="165" fontId="6" fillId="0" borderId="26" xfId="0" applyAlignment="1">
      <x:alignment vertical="center"/>
    </x:xf>
    <x:xf numFmtId="165" fontId="6" fillId="0" borderId="27" xfId="0" applyAlignment="1">
      <x:alignment vertical="center"/>
    </x:xf>
    <x:xf numFmtId="165" fontId="6" fillId="0" borderId="28" xfId="0" applyAlignment="1">
      <x:alignment vertical="center"/>
    </x:xf>
    <x:xf numFmtId="165" fontId="6" fillId="0" borderId="29" xfId="0" applyAlignment="1">
      <x:alignment vertical="center"/>
    </x:xf>
    <x:xf numFmtId="165" fontId="6" fillId="0" borderId="30" xfId="0" applyAlignment="1">
      <x:alignment vertical="center"/>
    </x:xf>
    <x:xf numFmtId="165" fontId="6" fillId="0" borderId="31" xfId="0" applyAlignment="1">
      <x:alignment vertical="center"/>
    </x:xf>
    <x:xf numFmtId="165" fontId="3" fillId="3" borderId="27" xfId="0" applyAlignment="1">
      <x:alignment vertical="center"/>
    </x:xf>
    <x:xf numFmtId="165" fontId="3" fillId="3" borderId="28" xfId="0" applyAlignment="1">
      <x:alignment vertical="center"/>
    </x:xf>
    <x:xf numFmtId="165" fontId="3" fillId="3" borderId="30" xfId="0" applyAlignment="1">
      <x:alignment vertical="center"/>
    </x:xf>
    <x:xf numFmtId="165" fontId="3" fillId="3" borderId="31" xfId="0" applyAlignment="1">
      <x:alignment vertical="center"/>
    </x:xf>
    <x:xf numFmtId="166" fontId="6" fillId="0" borderId="26" xfId="0" applyAlignment="1">
      <x:alignment vertical="center"/>
    </x:xf>
    <x:xf numFmtId="166" fontId="6" fillId="0" borderId="27" xfId="0" applyAlignment="1">
      <x:alignment vertical="center"/>
    </x:xf>
    <x:xf numFmtId="166" fontId="6" fillId="0" borderId="28" xfId="0" applyAlignment="1">
      <x:alignment vertical="center"/>
    </x:xf>
    <x:xf numFmtId="166" fontId="6" fillId="0" borderId="29" xfId="0" applyAlignment="1">
      <x:alignment vertical="center"/>
    </x:xf>
    <x:xf numFmtId="166" fontId="6" fillId="0" borderId="30" xfId="0" applyAlignment="1">
      <x:alignment vertical="center"/>
    </x:xf>
    <x:xf numFmtId="166" fontId="6" fillId="0" borderId="31" xfId="0" applyAlignment="1">
      <x:alignment vertical="center"/>
    </x:xf>
    <x:xf numFmtId="166" fontId="8" fillId="0" borderId="26" xfId="0" applyAlignment="1">
      <x:alignment vertical="center"/>
    </x:xf>
    <x:xf numFmtId="166" fontId="8" fillId="0" borderId="27" xfId="0" applyAlignment="1">
      <x:alignment vertical="center"/>
    </x:xf>
    <x:xf numFmtId="166" fontId="8" fillId="0" borderId="28" xfId="0" applyAlignment="1">
      <x:alignment vertical="center"/>
    </x:xf>
    <x:xf numFmtId="166" fontId="8" fillId="0" borderId="29" xfId="0" applyAlignment="1">
      <x:alignment vertical="center"/>
    </x:xf>
    <x:xf numFmtId="166" fontId="8" fillId="0" borderId="30" xfId="0" applyAlignment="1">
      <x:alignment vertical="center"/>
    </x:xf>
    <x:xf numFmtId="166" fontId="8" fillId="0" borderId="31" xfId="0" applyAlignment="1">
      <x:alignment vertical="center"/>
    </x:xf>
    <x:xf numFmtId="0" fontId="0" fillId="0" borderId="4" xfId="0" applyAlignment="1">
      <x:alignment wrapText="1"/>
    </x:xf>
    <x:xf numFmtId="0" fontId="0" fillId="0" borderId="12" xfId="0" applyAlignment="1">
      <x:alignment wrapText="1"/>
    </x:xf>
    <x:xf numFmtId="165" fontId="0" fillId="0" borderId="5" xfId="0"/>
    <x:xf numFmtId="166" fontId="0" fillId="0" borderId="5" xfId="0"/>
    <x:xf numFmtId="165" fontId="0" fillId="0" borderId="7" xfId="0"/>
    <x:xf numFmtId="165" fontId="0" fillId="0" borderId="13" xfId="0"/>
    <x:xf numFmtId="166" fontId="0" fillId="0" borderId="13" xfId="0"/>
    <x:xf numFmtId="165" fontId="0" fillId="0" borderId="15" xfId="0"/>
    <x:xf numFmtId="164" fontId="3" fillId="3" borderId="18" xfId="0" applyAlignment="1">
      <x:alignment vertical="center"/>
    </x:xf>
    <x:xf numFmtId="164" fontId="3" fillId="3" borderId="19" xfId="0" applyAlignment="1">
      <x:alignment vertical="center"/>
    </x:xf>
    <x:xf numFmtId="164" fontId="0" fillId="0" borderId="4" xfId="0"/>
    <x:xf numFmtId="164" fontId="0" fillId="0" borderId="12" xfId="0"/>
    <x:xf numFmtId="165" fontId="8" fillId="0" borderId="0" xfId="0" applyAlignment="1">
      <x:alignment vertical="center"/>
    </x:xf>
    <x:xf numFmtId="165" fontId="8" fillId="0" borderId="8" xfId="0" applyAlignment="1">
      <x:alignment vertical="center"/>
    </x:xf>
    <x:xf numFmtId="165" fontId="8" fillId="0" borderId="1" xfId="0" applyAlignment="1">
      <x:alignment vertical="center"/>
    </x:xf>
    <x:xf numFmtId="165" fontId="8" fillId="0" borderId="16" xfId="0" applyAlignment="1">
      <x:alignment vertical="center"/>
    </x:xf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167" fontId="8" fillId="0" borderId="0" xfId="0" applyAlignment="1">
      <x:alignment vertical="center"/>
    </x:xf>
    <x:xf numFmtId="166" fontId="3" fillId="3" borderId="0" xfId="0" applyAlignment="1">
      <x:alignment vertical="center"/>
    </x:xf>
    <x:xf numFmtId="166" fontId="8" fillId="0" borderId="0" xfId="0" applyAlignment="1">
      <x:alignment vertical="center"/>
    </x:xf>
    <x:xf numFmtId="0" fontId="6" fillId="0" borderId="0" xfId="0" applyAlignment="1">
      <x:alignment vertical="center"/>
    </x:xf>
    <x:xf numFmtId="165" fontId="6" fillId="0" borderId="0" xfId="0" applyAlignment="1">
      <x:alignment vertical="center"/>
    </x:xf>
    <x:xf numFmtId="166" fontId="6" fillId="0" borderId="0" xfId="0" applyAlignment="1">
      <x:alignment vertical="center"/>
    </x:xf>
    <x:xf numFmtId="0" fontId="0" fillId="6" borderId="0" xfId="0"/>
    <x:xf numFmtId="0" fontId="10" fillId="6" borderId="0" xfId="0"/>
    <x:xf numFmtId="0" fontId="10" fillId="6" borderId="0" xfId="0" applyAlignment="1">
      <x:alignment horizontal="left"/>
    </x:xf>
    <x:xf numFmtId="0" fontId="10" fillId="6" borderId="0" xfId="0" applyAlignment="1">
      <x:alignment horizontal="left" vertical="center"/>
    </x:xf>
    <x:xf numFmtId="0" fontId="0" fillId="7" borderId="0" xfId="0"/>
    <x:xf numFmtId="0" fontId="4" fillId="7" borderId="0" xfId="0"/>
    <x:xf numFmtId="0" fontId="4" fillId="7" borderId="0" xfId="0" applyAlignment="1">
      <x:alignment wrapText="1"/>
    </x:xf>
    <x:xf numFmtId="0" fontId="4" fillId="7" borderId="0" xfId="0" applyAlignment="1">
      <x:alignment horizontal="center" wrapText="1"/>
    </x:xf>
    <x:xf numFmtId="0" fontId="4" fillId="7" borderId="0" xfId="0" applyAlignment="1">
      <x:alignment horizontal="center" vertical="center" wrapText="1"/>
    </x:xf>
    <x:xf numFmtId="164" fontId="0" fillId="0" borderId="0" xfId="0" applyAlignment="1">
      <x:alignment wrapText="1"/>
    </x:xf>
    <x:xf numFmtId="168" fontId="0" fillId="0" borderId="0" xfId="0" applyAlignment="1">
      <x:alignment wrapText="1"/>
    </x:xf>
    <x:xf numFmtId="168" fontId="0" fillId="0" borderId="0" xfId="0"/>
    <x:xf numFmtId="169" fontId="0" fillId="0" borderId="0" xfId="0"/>
    <x:xf numFmtId="3" fontId="0" fillId="0" borderId="0" xfId="0"/>
    <x:xf numFmtId="0" fontId="0" fillId="8" borderId="0" xfId="0"/>
    <x:xf numFmtId="0" fontId="11" fillId="8" borderId="0" xfId="0"/>
    <x:xf numFmtId="0" fontId="11" fillId="8" borderId="0" xfId="0" applyAlignment="1">
      <x:alignment wrapText="1"/>
    </x:xf>
    <x:xf numFmtId="0" fontId="11" fillId="8" borderId="0" xfId="0" applyAlignment="1">
      <x:alignment vertical="top" wrapText="1"/>
    </x:xf>
    <x:xf numFmtId="0" fontId="1" fillId="2" borderId="31" xfId="0" applyAlignment="1">
      <x:alignment horizontal="left" vertical="center"/>
    </x:xf>
    <x:xf numFmtId="0" fontId="0" fillId="0" borderId="31" xfId="0"/>
    <x:xf numFmtId="0" fontId="4" fillId="4" borderId="31" xfId="0" applyAlignment="1">
      <x:alignment horizontal="left" vertical="center"/>
    </x:xf>
    <x:xf numFmtId="0" fontId="7" fillId="3" borderId="31" xfId="0" applyAlignment="1">
      <x:alignment wrapText="1"/>
    </x:xf>
    <x:xf numFmtId="165" fontId="8" fillId="0" borderId="26" xfId="0" applyAlignment="1">
      <x:alignment vertical="center"/>
    </x:xf>
    <x:xf numFmtId="167" fontId="8" fillId="0" borderId="27" xfId="0" applyAlignment="1">
      <x:alignment vertical="center"/>
    </x:xf>
    <x:xf numFmtId="167" fontId="8" fillId="0" borderId="28" xfId="0" applyAlignment="1">
      <x:alignment vertical="center"/>
    </x:xf>
    <x:xf numFmtId="164" fontId="3" fillId="3" borderId="2" xfId="0" applyAlignment="1">
      <x:alignment vertical="center"/>
    </x:xf>
    <x:xf numFmtId="167" fontId="3" fillId="3" borderId="3" xfId="0" applyAlignment="1">
      <x:alignment vertical="center"/>
    </x:xf>
    <x:xf numFmtId="165" fontId="3" fillId="3" borderId="4" xfId="0" applyAlignment="1">
      <x:alignment vertical="center"/>
    </x:xf>
    <x:xf numFmtId="165" fontId="3" fillId="3" borderId="2" xfId="0" applyAlignment="1">
      <x:alignment vertical="center"/>
    </x:xf>
    <x:xf numFmtId="164" fontId="3" fillId="3" borderId="18" xfId="0" applyAlignment="1">
      <x:alignment vertical="center"/>
    </x:xf>
    <x:xf numFmtId="164" fontId="3" fillId="3" borderId="5" xfId="0" applyAlignment="1">
      <x:alignment vertical="center"/>
    </x:xf>
    <x:xf numFmtId="167" fontId="3" fillId="3" borderId="0" xfId="0" applyAlignment="1">
      <x:alignment vertical="center"/>
    </x:xf>
    <x:xf numFmtId="165" fontId="3" fillId="3" borderId="6" xfId="0" applyAlignment="1">
      <x:alignment vertical="center"/>
    </x:xf>
    <x:xf numFmtId="165" fontId="8" fillId="0" borderId="27" xfId="0" applyAlignment="1">
      <x:alignment vertical="center"/>
    </x:xf>
    <x:xf numFmtId="165" fontId="3" fillId="3" borderId="5" xfId="0" applyAlignment="1">
      <x:alignment vertical="center"/>
    </x:xf>
    <x:xf numFmtId="164" fontId="3" fillId="3" borderId="7" xfId="0" applyAlignment="1">
      <x:alignment vertical="center"/>
    </x:xf>
    <x:xf numFmtId="167" fontId="3" fillId="3" borderId="8" xfId="0" applyAlignment="1">
      <x:alignment vertical="center"/>
    </x:xf>
    <x:xf numFmtId="165" fontId="3" fillId="3" borderId="9" xfId="0" applyAlignment="1">
      <x:alignment vertical="center"/>
    </x:xf>
    <x:xf numFmtId="165" fontId="8" fillId="0" borderId="28" xfId="0" applyAlignment="1">
      <x:alignment vertical="center"/>
    </x:xf>
    <x:xf numFmtId="165" fontId="3" fillId="3" borderId="7" xfId="0" applyAlignment="1">
      <x:alignment vertical="center"/>
    </x:xf>
    <x:xf numFmtId="0" fontId="1" fillId="2" borderId="31" xfId="0" applyAlignment="1">
      <x:alignment horizontal="left" vertical="center" wrapText="1"/>
    </x:xf>
    <x:xf numFmtId="0" fontId="9" fillId="5" borderId="31" xfId="0" applyAlignment="1">
      <x:alignment wrapText="1"/>
    </x:xf>
    <x:xf numFmtId="166" fontId="3" fillId="3" borderId="18" xfId="0" applyAlignment="1">
      <x:alignment vertical="center"/>
    </x:xf>
    <x:xf numFmtId="165" fontId="3" fillId="3" borderId="18" xfId="0" applyAlignment="1">
      <x:alignment vertical="center"/>
    </x:xf>
    <x:xf numFmtId="164" fontId="0" fillId="0" borderId="4" xfId="0"/>
    <x:xf numFmtId="165" fontId="3" fillId="3" borderId="26" xfId="0" applyAlignment="1">
      <x:alignment vertical="center"/>
    </x:xf>
    <x:xf numFmtId="165" fontId="8" fillId="0" borderId="2" xfId="0" applyAlignment="1">
      <x:alignment vertical="center"/>
    </x:xf>
    <x:xf numFmtId="165" fontId="8" fillId="0" borderId="4" xfId="0" applyAlignment="1">
      <x:alignment vertical="center"/>
    </x:xf>
    <x:xf numFmtId="166" fontId="0" fillId="0" borderId="0" xfId="0"/>
    <x:xf numFmtId="166" fontId="3" fillId="3" borderId="28" xfId="0" applyAlignment="1">
      <x:alignment vertical="center"/>
    </x:xf>
    <x:xf numFmtId="166" fontId="8" fillId="0" borderId="5" xfId="0" applyAlignment="1">
      <x:alignment vertical="center"/>
    </x:xf>
    <x:xf numFmtId="165" fontId="8" fillId="0" borderId="6" xfId="0" applyAlignment="1">
      <x:alignment vertical="center"/>
    </x:xf>
    <x:xf numFmtId="166" fontId="0" fillId="0" borderId="8" xfId="0"/>
    <x:xf numFmtId="165" fontId="0" fillId="0" borderId="5" xfId="0"/>
    <x:xf numFmtId="165" fontId="0" fillId="0" borderId="0" xfId="0"/>
    <x:xf numFmtId="165" fontId="8" fillId="0" borderId="5" xfId="0" applyAlignment="1">
      <x:alignment vertical="center"/>
    </x:xf>
    <x:xf numFmtId="165" fontId="8" fillId="0" borderId="0" xfId="0" applyAlignment="1">
      <x:alignment vertical="center"/>
    </x:xf>
    <x:xf numFmtId="165" fontId="0" fillId="0" borderId="7" xfId="0"/>
    <x:xf numFmtId="165" fontId="0" fillId="0" borderId="8" xfId="0"/>
    <x:xf numFmtId="165" fontId="8" fillId="0" borderId="7" xfId="0" applyAlignment="1">
      <x:alignment vertical="center"/>
    </x:xf>
    <x:xf numFmtId="165" fontId="8" fillId="0" borderId="8" xfId="0" applyAlignment="1">
      <x:alignment vertical="center"/>
    </x:xf>
    <x:xf numFmtId="165" fontId="8" fillId="0" borderId="9" xfId="0" applyAlignment="1">
      <x:alignment vertical="center"/>
    </x:xf>
    <x:xf numFmtId="167" fontId="3" fillId="3" borderId="26" xfId="0" applyAlignment="1">
      <x:alignment vertical="center"/>
    </x:xf>
    <x:xf numFmtId="166" fontId="3" fillId="3" borderId="26" xfId="0" applyAlignment="1">
      <x:alignment vertical="center"/>
    </x:xf>
    <x:xf numFmtId="165" fontId="6" fillId="0" borderId="26" xfId="0" applyAlignment="1">
      <x:alignment vertical="center"/>
    </x:xf>
    <x:xf numFmtId="166" fontId="6" fillId="0" borderId="26" xfId="0" applyAlignment="1">
      <x:alignment vertical="center"/>
    </x:xf>
    <x:xf numFmtId="166" fontId="8" fillId="0" borderId="26" xfId="0" applyAlignment="1">
      <x:alignment vertical="center"/>
    </x:xf>
    <x:xf numFmtId="167" fontId="3" fillId="3" borderId="27" xfId="0" applyAlignment="1">
      <x:alignment vertical="center"/>
    </x:xf>
    <x:xf numFmtId="166" fontId="3" fillId="3" borderId="27" xfId="0" applyAlignment="1">
      <x:alignment vertical="center"/>
    </x:xf>
    <x:xf numFmtId="165" fontId="6" fillId="0" borderId="27" xfId="0" applyAlignment="1">
      <x:alignment vertical="center"/>
    </x:xf>
    <x:xf numFmtId="165" fontId="3" fillId="3" borderId="27" xfId="0" applyAlignment="1">
      <x:alignment vertical="center"/>
    </x:xf>
    <x:xf numFmtId="166" fontId="6" fillId="0" borderId="27" xfId="0" applyAlignment="1">
      <x:alignment vertical="center"/>
    </x:xf>
    <x:xf numFmtId="166" fontId="8" fillId="0" borderId="27" xfId="0" applyAlignment="1">
      <x:alignment vertical="center"/>
    </x:xf>
    <x:xf numFmtId="167" fontId="3" fillId="3" borderId="28" xfId="0" applyAlignment="1">
      <x:alignment vertical="center"/>
    </x:xf>
    <x:xf numFmtId="165" fontId="6" fillId="0" borderId="28" xfId="0" applyAlignment="1">
      <x:alignment vertical="center"/>
    </x:xf>
    <x:xf numFmtId="165" fontId="3" fillId="3" borderId="28" xfId="0" applyAlignment="1">
      <x:alignment vertical="center"/>
    </x:xf>
    <x:xf numFmtId="166" fontId="6" fillId="0" borderId="28" xfId="0" applyAlignment="1">
      <x:alignment vertical="center"/>
    </x:xf>
    <x:xf numFmtId="166" fontId="8" fillId="0" borderId="28" xfId="0" applyAlignment="1">
      <x:alignment vertical="center"/>
    </x:xf>
    <x:xf numFmtId="165" fontId="3" fillId="3" borderId="3" xfId="0" applyAlignment="1">
      <x:alignment vertical="center"/>
    </x:xf>
    <x:xf numFmtId="164" fontId="3" fillId="3" borderId="3" xfId="0" applyAlignment="1">
      <x:alignment vertical="center"/>
    </x:xf>
    <x:xf numFmtId="0" fontId="0" fillId="0" borderId="31" xfId="0" applyAlignment="1">
      <x:alignment wrapText="1"/>
    </x:xf>
    <x:xf numFmtId="165" fontId="3" fillId="3" borderId="0" xfId="0" applyAlignment="1">
      <x:alignment vertical="center"/>
    </x:xf>
    <x:xf numFmtId="164" fontId="3" fillId="3" borderId="0" xfId="0" applyAlignment="1">
      <x:alignment vertical="center"/>
    </x:xf>
    <x:xf numFmtId="164" fontId="0" fillId="0" borderId="0" xfId="0"/>
    <x:xf numFmtId="164" fontId="0" fillId="0" borderId="8" xfId="0"/>
    <x:xf numFmtId="0" fontId="10" fillId="6" borderId="31" xfId="0" applyAlignment="1">
      <x:alignment horizontal="left" vertical="center"/>
    </x:xf>
    <x:xf numFmtId="164" fontId="0" fillId="0" borderId="0" xfId="0" applyAlignment="1">
      <x:alignment wrapText="1"/>
    </x:xf>
    <x:xf numFmtId="168" fontId="0" fillId="0" borderId="0" xfId="0" applyAlignment="1">
      <x:alignment wrapText="1"/>
    </x:xf>
    <x:xf numFmtId="168" fontId="0" fillId="0" borderId="0" xfId="0"/>
    <x:xf numFmtId="169" fontId="0" fillId="0" borderId="0" xfId="0"/>
    <x:xf numFmtId="3" fontId="0" fillId="0" borderId="0" xfId="0"/>
    <x:xf numFmtId="0" fontId="11" fillId="8" borderId="31" xfId="0" applyAlignment="1">
      <x:alignment vertical="top" wrapText="1"/>
    </x:xf>
    <x:xf numFmtId="0" fontId="0" fillId="0" borderId="31" xfId="0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165" fontId="8" fillId="0" borderId="0" xfId="0" applyNumberFormat="1" applyFont="1" applyFill="1" applyBorder="1" applyAlignment="1">
      <x:alignment vertical="center"/>
    </x:xf>
    <x:xf numFmtId="167" fontId="8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16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167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166" fontId="3" fillId="3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166" fontId="0" fillId="0" borderId="0" xfId="0" applyNumberFormat="1" applyFont="1" applyFill="1" applyBorder="1" applyAlignment="1">
      <x:alignment vertical="center"/>
    </x:xf>
    <x:xf numFmtId="166" fontId="8" fillId="0" borderId="0" xfId="0" applyNumberFormat="1" applyFont="1" applyFill="1" applyBorder="1" applyAlignment="1">
      <x:alignment vertical="center"/>
    </x:xf>
    <x:xf numFmtId="165" fontId="0" fillId="0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166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left" vertical="center"/>
    </x:xf>
    <x:xf numFmtId="164" fontId="0" fillId="0" borderId="0" xfId="0" applyNumberFormat="1" applyFont="1" applyFill="1" applyBorder="1" applyAlignment="1">
      <x:alignment vertical="center" wrapText="1"/>
    </x:xf>
    <x:xf numFmtId="168" fontId="0" fillId="0" borderId="0" xfId="0" applyNumberFormat="1" applyFont="1" applyFill="1" applyBorder="1" applyAlignment="1">
      <x:alignment vertical="center" wrapText="1"/>
    </x:xf>
    <x:xf numFmtId="168" fontId="0" fillId="0" borderId="0" xfId="0" applyNumberFormat="1" applyFont="1" applyFill="1" applyBorder="1" applyAlignment="1">
      <x:alignment vertical="center"/>
    </x:xf>
    <x:xf numFmtId="169" fontId="0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164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167" fontId="3" fillId="9" borderId="0" xfId="0" applyNumberFormat="1" applyFont="1" applyFill="1" applyBorder="1" applyAlignment="1">
      <x:alignment vertical="center"/>
    </x:xf>
    <x:xf numFmtId="165" fontId="3" fillId="9" borderId="0" xfId="0" applyNumberFormat="1" applyFont="1" applyFill="1" applyBorder="1" applyAlignment="1">
      <x:alignment vertical="center"/>
    </x:xf>
    <x:xf numFmtId="165" fontId="8" fillId="10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200" fontId="3" fillId="9" borderId="0" xfId="0" applyNumberFormat="1" applyFont="1" applyFill="1" applyBorder="1" applyAlignment="1">
      <x:alignment vertical="center"/>
    </x:xf>
    <x:xf numFmtId="168" fontId="3" fillId="9" borderId="0" xfId="0" applyNumberFormat="1" applyFont="1" applyFill="1" applyBorder="1" applyAlignment="1">
      <x:alignment vertical="center"/>
    </x:xf>
    <x:xf numFmtId="168" fontId="8" fillId="10" borderId="0" xfId="0" applyNumberFormat="1" applyFont="1" applyFill="1" applyBorder="1" applyAlignment="1">
      <x:alignment vertical="center"/>
    </x:xf>
    <x:xf numFmtId="168" fontId="3" fillId="3" borderId="0" xfId="0" applyNumberFormat="1" applyFont="1" applyFill="1" applyBorder="1" applyAlignment="1">
      <x:alignment vertical="center"/>
    </x:xf>
    <x:xf numFmtId="166" fontId="3" fillId="9" borderId="0" xfId="0" applyNumberFormat="1" applyFont="1" applyFill="1" applyBorder="1" applyAlignment="1">
      <x:alignment vertical="center"/>
    </x:xf>
    <x:xf numFmtId="165" fontId="8" fillId="9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horizontal="left" vertical="center"/>
    </x:xf>
    <x:xf numFmtId="0" fontId="12" fillId="1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168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168" fontId="0" fillId="0" borderId="35" xfId="0" applyNumberFormat="1" applyFont="1" applyFill="1" applyBorder="1" applyAlignment="1">
      <x:alignment vertical="center"/>
    </x:xf>
    <x:xf numFmtId="201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202" fontId="0" fillId="0" borderId="37" xfId="0" applyNumberFormat="1" applyFont="1" applyFill="1" applyBorder="1" applyAlignment="1">
      <x:alignment vertical="center"/>
    </x:xf>
    <x:xf numFmtId="168" fontId="0" fillId="0" borderId="38" xfId="0" applyNumberFormat="1" applyFont="1" applyFill="1" applyBorder="1" applyAlignment="1">
      <x:alignment vertical="center"/>
    </x:xf>
    <x:xf numFmtId="168" fontId="0" fillId="0" borderId="39" xfId="0" applyNumberFormat="1" applyFont="1" applyFill="1" applyBorder="1" applyAlignment="1">
      <x:alignment vertical="center"/>
    </x:xf>
    <x:xf numFmtId="168" fontId="0" fillId="0" borderId="40" xfId="0" applyNumberFormat="1" applyFont="1" applyFill="1" applyBorder="1" applyAlignment="1">
      <x:alignment vertical="center"/>
    </x:xf>
    <x:xf numFmtId="168" fontId="0" fillId="0" borderId="37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wrapText="1"/>
    </x:xf>
    <x:xf numFmtId="0" fontId="15" fillId="14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12" borderId="0" xfId="0" applyNumberFormat="1" applyFont="1" applyFill="1" applyBorder="1"/>
    <x:xf numFmtId="0" fontId="12" fillId="12" borderId="0" xfId="0" applyNumberFormat="1" applyFont="1" applyFill="1" applyBorder="1"/>
    <x:xf numFmtId="0" fontId="16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vertical="center"/>
    </x:xf>
    <x:xf numFmtId="0" fontId="16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  <x:xf numFmtId="0" fontId="18" fillId="12" borderId="0" xfId="0" applyNumberFormat="1" applyFont="1" applyFill="1" applyBorder="1" applyAlignment="1">
      <x:alignment horizontal="center" wrapText="1"/>
    </x:xf>
    <x:xf numFmtId="0" fontId="18" fillId="12" borderId="0" xfId="0" applyNumberFormat="1" applyFont="1" applyFill="1" applyBorder="1" applyAlignment="1">
      <x:alignment horizontal="center" vertical="center" wrapText="1"/>
    </x:xf>
    <x:xf numFmtId="0" fontId="16" fillId="0" borderId="32" xfId="0" applyNumberFormat="1" applyFont="1" applyFill="1" applyBorder="1"/>
    <x:xf numFmtId="0" fontId="16" fillId="0" borderId="38" xfId="0" applyNumberFormat="1" applyFont="1" applyFill="1" applyBorder="1"/>
    <x:xf numFmtId="0" fontId="16" fillId="0" borderId="33" xfId="0" applyNumberFormat="1" applyFont="1" applyFill="1" applyBorder="1"/>
    <x:xf numFmtId="0" fontId="16" fillId="0" borderId="34" xfId="0" applyNumberFormat="1" applyFont="1" applyFill="1" applyBorder="1"/>
    <x:xf numFmtId="0" fontId="16" fillId="0" borderId="39" xfId="0" applyNumberFormat="1" applyFont="1" applyFill="1" applyBorder="1"/>
    <x:xf numFmtId="0" fontId="16" fillId="0" borderId="35" xfId="0" applyNumberFormat="1" applyFont="1" applyFill="1" applyBorder="1"/>
    <x:xf numFmtId="0" fontId="16" fillId="0" borderId="36" xfId="0" applyNumberFormat="1" applyFont="1" applyFill="1" applyBorder="1"/>
    <x:xf numFmtId="0" fontId="16" fillId="0" borderId="40" xfId="0" applyNumberFormat="1" applyFont="1" applyFill="1" applyBorder="1"/>
    <x:xf numFmtId="0" fontId="16" fillId="0" borderId="37" xfId="0" applyNumberFormat="1" applyFont="1" applyFill="1" applyBorder="1"/>
    <x:xf numFmtId="0" fontId="16" fillId="0" borderId="32" xfId="0" applyNumberFormat="1" applyFont="1" applyFill="1" applyBorder="1" applyAlignment="1">
      <x:alignment wrapText="1"/>
    </x:xf>
    <x:xf numFmtId="0" fontId="16" fillId="0" borderId="38" xfId="0" applyNumberFormat="1" applyFont="1" applyFill="1" applyBorder="1" applyAlignment="1">
      <x:alignment wrapText="1"/>
    </x:xf>
    <x:xf numFmtId="0" fontId="16" fillId="0" borderId="33" xfId="0" applyNumberFormat="1" applyFont="1" applyFill="1" applyBorder="1" applyAlignment="1">
      <x:alignment wrapText="1"/>
    </x:xf>
    <x:xf numFmtId="0" fontId="16" fillId="0" borderId="34" xfId="0" applyNumberFormat="1" applyFont="1" applyFill="1" applyBorder="1" applyAlignment="1">
      <x:alignment wrapText="1"/>
    </x:xf>
    <x:xf numFmtId="0" fontId="16" fillId="0" borderId="39" xfId="0" applyNumberFormat="1" applyFont="1" applyFill="1" applyBorder="1" applyAlignment="1">
      <x:alignment wrapText="1"/>
    </x:xf>
    <x:xf numFmtId="0" fontId="16" fillId="0" borderId="35" xfId="0" applyNumberFormat="1" applyFont="1" applyFill="1" applyBorder="1" applyAlignment="1">
      <x:alignment wrapText="1"/>
    </x:xf>
    <x:xf numFmtId="0" fontId="16" fillId="0" borderId="36" xfId="0" applyNumberFormat="1" applyFont="1" applyFill="1" applyBorder="1" applyAlignment="1">
      <x:alignment wrapText="1"/>
    </x:xf>
    <x:xf numFmtId="0" fontId="16" fillId="0" borderId="40" xfId="0" applyNumberFormat="1" applyFont="1" applyFill="1" applyBorder="1" applyAlignment="1">
      <x:alignment wrapText="1"/>
    </x:xf>
    <x:xf numFmtId="0" fontId="16" fillId="0" borderId="37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B91C1C"/>
      </x:font>
      <x:fill>
        <x:patternFill>
          <x:bgColor rgb="FFFECACA"/>
        </x:patternFill>
      </x:fill>
    </x:dxf>
    <x:dxf>
      <x:fill>
        <x:patternFill>
          <x:bgColor rgb="FF0B1220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059669"/>
      </x:font>
      <x:fill>
        <x:patternFill>
          <x:bgColor rgb="FFECFDF5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d2a7c3dd340c4" /><Relationship Type="http://schemas.openxmlformats.org/officeDocument/2006/relationships/theme" Target="/xl/theme/theme1.xml" Id="R714a0ddead614422" /><Relationship Type="http://schemas.openxmlformats.org/officeDocument/2006/relationships/sharedStrings" Target="/xl/sharedStrings.xml" Id="Ra09ee822415749d5" /><Relationship Type="http://schemas.openxmlformats.org/officeDocument/2006/relationships/worksheet" Target="/xl/worksheets/sheet1.xml" Id="Rf43d98a360e64cfc" /><Relationship Type="http://schemas.openxmlformats.org/officeDocument/2006/relationships/worksheet" Target="/xl/worksheets/sheet2.xml" Id="R8d7d194187a94f93" /><Relationship Type="http://schemas.openxmlformats.org/officeDocument/2006/relationships/worksheet" Target="/xl/worksheets/sheet3.xml" Id="R2410c41127304460" /><Relationship Type="http://schemas.openxmlformats.org/officeDocument/2006/relationships/worksheet" Target="/xl/worksheets/sheet4.xml" Id="Rf844b9e2f9ae4634" /><Relationship Type="http://schemas.openxmlformats.org/officeDocument/2006/relationships/worksheet" Target="/xl/worksheets/sheet5.xml" Id="R080d44bdae47428a" /><Relationship Type="http://schemas.openxmlformats.org/officeDocument/2006/relationships/worksheet" Target="/xl/worksheets/sheet6.xml" Id="Re853ed82ef5049cf" /><Relationship Type="http://schemas.openxmlformats.org/officeDocument/2006/relationships/worksheet" Target="/xl/worksheets/sheet7.xml" Id="Re5dbf65f276646a0" /><Relationship Type="http://schemas.openxmlformats.org/officeDocument/2006/relationships/worksheet" Target="/xl/worksheets/sheet8.xml" Id="Rccb799e66e8047f9" /><Relationship Type="http://schemas.openxmlformats.org/officeDocument/2006/relationships/worksheet" Target="/xl/worksheets/sheet9.xml" Id="R7278acb912704c98" /><Relationship Type="http://schemas.openxmlformats.org/officeDocument/2006/relationships/worksheet" Target="/xl/worksheets/sheet10.xml" Id="R6e514dbd6f064a48" /><Relationship Type="http://schemas.openxmlformats.org/officeDocument/2006/relationships/worksheet" Target="/xl/worksheets/sheet11.xml" Id="R5f530d6b7e5e469d" /><Relationship Type="http://schemas.openxmlformats.org/officeDocument/2006/relationships/worksheet" Target="/xl/worksheets/sheet12.xml" Id="R6e1e08762fdf4184" /><Relationship Type="http://schemas.openxmlformats.org/officeDocument/2006/relationships/worksheet" Target="/xl/worksheets/sheet13.xml" Id="Rc3a5c69f805c43e2" /><Relationship Type="http://schemas.openxmlformats.org/officeDocument/2006/relationships/worksheet" Target="/xl/worksheets/sheet14.xml" Id="Rc65141067b464004" /><Relationship Type="http://schemas.openxmlformats.org/officeDocument/2006/relationships/worksheet" Target="/xl/worksheets/sheet15.xml" Id="R33e65acf683e47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f0d56255454a6f" /><Relationship Type="http://schemas.openxmlformats.org/officeDocument/2006/relationships/chart" Target="/xl/drawings/charts/chart2.xml" Id="R61ecc5e5127642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Doanh thu và lợi nhuận theo kênh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DOANH THU (đ)</c:v>
          </c:tx>
          <c:cat>
            <c:strRef>
              <c:f>'14_Dashboard'!$D$4:$D$10</c:f>
              <c:strCache>
                <c:ptCount val="0"/>
              </c:strCache>
            </c:strRef>
          </c:cat>
          <c:val>
            <c:numRef>
              <c:f>'14_Dashboard'!$E$4:$E$10</c:f>
              <c:numCache>
                <c:formatCode>#,##0" đ"</c:formatCode>
                <c:ptCount val="0"/>
              </c:numCache>
            </c:numRef>
          </c:val>
        </c:ser>
        <c:ser>
          <c:idx val="1"/>
          <c:order val="1"/>
          <c:tx>
            <c:v>LỢI NHUẬN (đ)</c:v>
          </c:tx>
          <c:cat>
            <c:strRef>
              <c:f>'14_Dashboard'!$D$4:$D$10</c:f>
              <c:strCache>
                <c:ptCount val="0"/>
              </c:strCache>
            </c:strRef>
          </c:cat>
          <c:val>
            <c:numRef>
              <c:f>'14_Dashboard'!$F$4:$F$10</c:f>
              <c:numCache>
                <c:formatCode>#,##0" đ"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&quot; đ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Cơ cấu đầu tư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TỔNG (đ)</c:v>
          </c:tx>
          <c:cat>
            <c:strRef>
              <c:f>'14_Dashboard'!$H$4:$H$11</c:f>
              <c:strCache>
                <c:ptCount val="0"/>
              </c:strCache>
            </c:strRef>
          </c:cat>
          <c:val>
            <c:numRef>
              <c:f>'14_Dashboard'!$I$4:$I$11</c:f>
              <c:numCache>
                <c:formatCode>#,##0" đ"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f0d56255454a6f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ecc5e5127642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3:V303" headerRowCount="1" totalsRowCount="0" totalsRowShown="0">
  <x:tableColumns count="22">
    <x:tableColumn id="1" name="Mã đơn"/>
    <x:tableColumn id="2" name="Ngày đơn"/>
    <x:tableColumn id="3" name="Kênh bán"/>
    <x:tableColumn id="4" name="Sàn/Nền tảng"/>
    <x:tableColumn id="5" name="Mã SP"/>
    <x:tableColumn id="6" name="Tên sản phẩm"/>
    <x:tableColumn id="7" name="Mã KH"/>
    <x:tableColumn id="8" name="Số lượng"/>
    <x:tableColumn id="9" name="Giá bán/đơn vị (đ)"/>
    <x:tableColumn id="10" name="Doanh thu SP (đ)"/>
    <x:tableColumn id="11" name="Phí sàn (đ)"/>
    <x:tableColumn id="12" name="Phí thanh toán khác (đ)"/>
    <x:tableColumn id="13" name="Ship khách trả (đ)"/>
    <x:tableColumn id="14" name="Ship mình trả (đ)"/>
    <x:tableColumn id="15" name="Đơn vị vận chuyển"/>
    <x:tableColumn id="16" name="Mã vận đơn"/>
    <x:tableColumn id="17" name="Cost/đơn vị (đ)"/>
    <x:tableColumn id="18" name="Tổng COST (đ)"/>
    <x:tableColumn id="19" name="Tiền thực nhận trước ship (đ)"/>
    <x:tableColumn id="20" name="Lợi nhuận ròng (đ)"/>
    <x:tableColumn id="21" name="Trạng thái đơn"/>
    <x:tableColumn id="22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thdrawalsTable" displayName="WithdrawalsTable" ref="A3:J303" headerRowCount="1" totalsRowCount="0" totalsRowShown="0">
  <x:tableColumns count="10">
    <x:tableColumn id="1" name="Ngày rút"/>
    <x:tableColumn id="2" name="Sàn/Kênh"/>
    <x:tableColumn id="3" name="Mã giao dịch rút"/>
    <x:tableColumn id="4" name="Số tiền rút (đ)"/>
    <x:tableColumn id="5" name="Ngân hàng nhận"/>
    <x:tableColumn id="6" name="Tên chủ tài khoản"/>
    <x:tableColumn id="7" name="Số tài khoản"/>
    <x:tableColumn id="8" name="Ngày tiền về NH"/>
    <x:tableColumn id="9" name="Trạng thái"/>
    <x:tableColumn id="10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3:L303" headerRowCount="1" totalsRowCount="0" totalsRowShown="0">
  <x:tableColumns count="12">
    <x:tableColumn id="1" name="Mã SP"/>
    <x:tableColumn id="2" name="Tên sản phẩm"/>
    <x:tableColumn id="3" name="Loại sản phẩm"/>
    <x:tableColumn id="4" name="Mô tả sản phẩm"/>
    <x:tableColumn id="5" name="Giá niêm yết (đ)"/>
    <x:tableColumn id="6" name="COST tham chiếu (đ)"/>
    <x:tableColumn id="7" name="Link hình ảnh Drive/khác"/>
    <x:tableColumn id="8" name="Link video Drive/khác"/>
    <x:tableColumn id="9" name="Link thư mục tài sản"/>
    <x:tableColumn id="10" name="SKU/Barcode"/>
    <x:tableColumn id="11" name="Trạng thái"/>
    <x:tableColumn id="12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amentTable" displayName="FilamentTable" ref="A3:O303" headerRowCount="1" totalsRowCount="0" totalsRowShown="0">
  <x:tableColumns count="15">
    <x:tableColumn id="1" name="Mã cuộn"/>
    <x:tableColumn id="2" name="Ngày mua"/>
    <x:tableColumn id="3" name="Loại nhựa"/>
    <x:tableColumn id="4" name="Màu nhựa"/>
    <x:tableColumn id="5" name="Hãng nhựa"/>
    <x:tableColumn id="6" name="Khối lượng mua (kg)"/>
    <x:tableColumn id="7" name="Giá mua/cuộn (đ)"/>
    <x:tableColumn id="8" name="Giá/kg (đ)"/>
    <x:tableColumn id="9" name="Tồn đầu vào (g)"/>
    <x:tableColumn id="10" name="Đã dùng (g)"/>
    <x:tableColumn id="11" name="Tồn hiện tại (g)"/>
    <x:tableColumn id="12" name="Link mua"/>
    <x:tableColumn id="13" name="Nhà cung cấp"/>
    <x:tableColumn id="14" name="Vị trí lưu kho"/>
    <x:tableColumn id="15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stomersTable" displayName="CustomersTable" ref="A3:L303" headerRowCount="1" totalsRowCount="0" totalsRowShown="0">
  <x:tableColumns count="12">
    <x:tableColumn id="1" name="Mã KH"/>
    <x:tableColumn id="2" name="Tên khách hàng"/>
    <x:tableColumn id="3" name="Số điện thoại"/>
    <x:tableColumn id="4" name="Email"/>
    <x:tableColumn id="5" name="Địa chỉ"/>
    <x:tableColumn id="6" name="Tỉnh/TP"/>
    <x:tableColumn id="7" name="Kênh đầu tiên"/>
    <x:tableColumn id="8" name="Ngày đầu mua"/>
    <x:tableColumn id="9" name="Tổng đơn"/>
    <x:tableColumn id="10" name="Tổng doanh thu (đ)"/>
    <x:tableColumn id="11" name="Tổng lợi nhuận (đ)"/>
    <x:tableColumn id="12" name="Ghi ch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stmentTable" displayName="InvestmentTable" ref="A3:J303" headerRowCount="1" totalsRowCount="0" totalsRowShown="0">
  <x:tableColumns count="10">
    <x:tableColumn id="1" name="Ngày mua/đầu tư"/>
    <x:tableColumn id="2" name="Phân loại"/>
    <x:tableColumn id="3" name="Tài sản / hạng mục"/>
    <x:tableColumn id="4" name="Hãng / Model"/>
    <x:tableColumn id="5" name="Số lượng"/>
    <x:tableColumn id="6" name="Số tiền đầu tư (đ)"/>
    <x:tableColumn id="7" name="Nhà cung cấp"/>
    <x:tableColumn id="8" name="Link hóa đơn/Drive"/>
    <x:tableColumn id="9" name="Tuổi khấu hao (tháng)"/>
    <x:tableColumn id="10" name="Ghi ch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nkAccountsTable" displayName="BankAccountsTable" ref="A3:G303" headerRowCount="1" totalsRowCount="0" totalsRowShown="0">
  <x:tableColumns count="7">
    <x:tableColumn id="1" name="Ngân hàng"/>
    <x:tableColumn id="2" name="Tên chủ tài khoản"/>
    <x:tableColumn id="3" name="Số tài khoản"/>
    <x:tableColumn id="4" name="Loại tài khoản"/>
    <x:tableColumn id="5" name="Mục đích sử dụng"/>
    <x:tableColumn id="6" name="Chi nhánh"/>
    <x:tableColumn id="7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a707982827e148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4030d06b51c84d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4fd61c1471494f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ee12df0ff91f42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feec055f2e7841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6.xml" Id="R6d75dfd4c0414d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7ae658b729fb423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4657d96574264b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4" style="14" customWidth="1"/>
    <x:col min="2" max="2" width="18" style="14" customWidth="1"/>
    <x:col min="3" max="3" width="28" style="14" customWidth="1"/>
    <x:col min="4" max="4" width="28" style="14" customWidth="1"/>
    <x:col min="5" max="5" width="22" style="14" customWidth="1"/>
    <x:col min="6" max="6" width="12" style="14" customWidth="1"/>
    <x:col min="7" max="7" width="18" style="14" customWidth="1"/>
    <x:col min="8" max="8" width="20" style="14" customWidth="1"/>
    <x:col min="9" max="9" width="20" style="14" customWidth="1"/>
    <x:col min="10" max="10" width="28" style="14" customWidth="1"/>
    <x:col min="11" max="11" width="24" style="14" customWidth="1"/>
    <x:col min="13" max="13" width="22" style="14" customWidth="1"/>
    <x:col min="14" max="14" width="18" style="14" customWidth="1"/>
    <x:col min="15" max="15" width="10" style="14" customWidth="1"/>
    <x:col min="12" max="12" width="18" hidden="0" customWidth="1"/>
  </x:cols>
  <x:sheetData>
    <x:row r="1" s="14" customFormat="1" ht="28" customHeight="1">
      <x:c r="A1" s="523" t="inlineStr">
        <x:is>
          <x:t xml:space="preserve">SỔ THEO DÕI CHI PHÍ MUA VÀO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  <x:c r="L1" s="524"/>
      <x:c r="M1" s="525" t="inlineStr">
        <x:is>
          <x:t xml:space="preserve">TỔNG QUAN</x:t>
        </x:is>
      </x:c>
      <x:c r="N1" s="524" t="n"/>
      <x:c r="O1" s="524" t="n"/>
    </x:row>
    <x:row r="2">
      <x:c r="A2" s="526" t="str">
        <x:v>Nhập dữ liệu mua vào. Khi chọn “Phụ kiện khác”, Cột C - Tên sản phẩm/phụ kiện là bắt buộc; khi chọn “Nhựa in”, nhập màu tại cột L để kiểm soát tồn kho theo màu.</x:v>
      </x:c>
      <x:c r="B2" s="524" t="n"/>
      <x:c r="C2" s="524" t="n"/>
      <x:c r="D2" s="524" t="n"/>
      <x:c r="E2" s="524" t="n"/>
      <x:c r="F2" s="524" t="n"/>
      <x:c r="G2" s="524" t="n"/>
      <x:c r="H2" s="524" t="n"/>
      <x:c r="I2" s="524" t="n"/>
      <x:c r="J2" s="524" t="n"/>
      <x:c r="K2" s="524" t="n"/>
      <x:c r="L2" s="524"/>
      <x:c r="M2" s="524" t="inlineStr">
        <x:is>
          <x:t xml:space="preserve">Tổng tiền mua</x:t>
        </x:is>
      </x:c>
      <x:c r="N2" s="527" t="n">
        <x:f>SUM(H5:H205)</x:f>
        <x:v>0</x:v>
      </x:c>
      <x:c r="O2" s="524" t="str"/>
    </x:row>
    <x:row r="3">
      <x:c r="A3" s="524"/>
      <x:c r="B3" s="524"/>
      <x:c r="C3" s="524"/>
      <x:c r="D3" s="524"/>
      <x:c r="E3" s="524"/>
      <x:c r="F3" s="524"/>
      <x:c r="G3" s="524"/>
      <x:c r="H3" s="524"/>
      <x:c r="I3" s="524"/>
      <x:c r="J3" s="524"/>
      <x:c r="K3" s="524"/>
      <x:c r="L3" s="524"/>
      <x:c r="M3" s="524" t="inlineStr">
        <x:is>
          <x:t xml:space="preserve">Tổng SL</x:t>
        </x:is>
      </x:c>
      <x:c r="N3" s="528" t="n">
        <x:f>SUM(F5:F205)</x:f>
        <x:v>0</x:v>
      </x:c>
      <x:c r="O3" s="524" t="str"/>
    </x:row>
    <x:row r="4" s="14" customFormat="1" ht="30" customHeight="1">
      <x:c r="A4" s="529" t="inlineStr">
        <x:is>
          <x:t xml:space="preserve">Ngày mua</x:t>
        </x:is>
      </x:c>
      <x:c r="B4" s="529" t="inlineStr">
        <x:is>
          <x:t xml:space="preserve">Phân loại</x:t>
        </x:is>
      </x:c>
      <x:c r="C4" s="529" t="inlineStr">
        <x:is>
          <x:t xml:space="preserve">Tên sản phẩm / phụ kiện</x:t>
        </x:is>
      </x:c>
      <x:c r="D4" s="529" t="inlineStr">
        <x:is>
          <x:t xml:space="preserve">Mô tả / Model</x:t>
        </x:is>
      </x:c>
      <x:c r="E4" s="529" t="inlineStr">
        <x:is>
          <x:t xml:space="preserve">Nhà cung cấp</x:t>
        </x:is>
      </x:c>
      <x:c r="F4" s="529" t="inlineStr">
        <x:is>
          <x:t xml:space="preserve">Số lượng</x:t>
        </x:is>
      </x:c>
      <x:c r="G4" s="529" t="inlineStr">
        <x:is>
          <x:t xml:space="preserve">Đơn giá mua (đ)</x:t>
        </x:is>
      </x:c>
      <x:c r="H4" s="529" t="inlineStr">
        <x:is>
          <x:t xml:space="preserve">Tổng tiền mua (đ)</x:t>
        </x:is>
      </x:c>
      <x:c r="I4" s="529" t="inlineStr">
        <x:is>
          <x:t xml:space="preserve">Giá bán tham chiếu (đ)</x:t>
        </x:is>
      </x:c>
      <x:c r="J4" s="529" t="inlineStr">
        <x:is>
          <x:t xml:space="preserve">Ghi chú</x:t>
        </x:is>
      </x:c>
      <x:c r="K4" s="529" t="inlineStr">
        <x:is>
          <x:t xml:space="preserve">Kiểm tra</x:t>
        </x:is>
      </x:c>
      <x:c r="L4" s="626" t="str">
        <x:v>Màu nhựa</x:v>
      </x:c>
      <x:c r="M4" s="524" t="inlineStr">
        <x:is>
          <x:t xml:space="preserve">Số dòng cảnh báo</x:t>
        </x:is>
      </x:c>
      <x:c r="N4" s="528" t="n">
        <x:f>COUNTIF(K5:K205,"⚠*")</x:f>
        <x:v>0</x:v>
      </x:c>
      <x:c r="O4" s="524" t="str"/>
    </x:row>
    <x:row r="5">
      <x:c r="A5" s="556" t="n"/>
      <x:c r="B5" s="557" t="n"/>
      <x:c r="C5" s="557" t="n"/>
      <x:c r="D5" s="557" t="n"/>
      <x:c r="E5" s="557" t="n"/>
      <x:c r="F5" s="562" t="n"/>
      <x:c r="G5" s="563" t="n"/>
      <x:c r="H5" s="564" t="str">
        <x:f>IF(OR(F5="",G5=""),"",F5*G5)</x:f>
      </x:c>
      <x:c r="I5" s="563" t="n"/>
      <x:c r="J5" s="557" t="n"/>
      <x:c r="K5" s="561" t="str">
        <x:f>IF(B5="","",IF(AND(B5="Phụ kiện khác",C5=""),"⚠ NHẬP TÊN PHỤ KIỆN",IF(C5="","⚠ NHẬP TÊN SẢN PHẨM","OK")))</x:f>
      </x:c>
      <x:c r="L5" s="627"/>
      <x:c r="M5" s="524" t="inlineStr">
        <x:is>
          <x:t xml:space="preserve">Ngày kiểm tra</x:t>
        </x:is>
      </x:c>
      <x:c r="N5" s="530" t="n">
        <x:v>46285</x:v>
      </x:c>
      <x:c r="O5" s="524" t="str"/>
    </x:row>
    <x:row r="6">
      <x:c r="A6" s="556" t="n"/>
      <x:c r="B6" s="557" t="n"/>
      <x:c r="C6" s="557" t="n"/>
      <x:c r="D6" s="557" t="n"/>
      <x:c r="E6" s="557" t="n"/>
      <x:c r="F6" s="562" t="n"/>
      <x:c r="G6" s="563" t="n"/>
      <x:c r="H6" s="564" t="str">
        <x:f>IF(OR(F6="",G6=""),"",F6*G6)</x:f>
      </x:c>
      <x:c r="I6" s="563" t="n"/>
      <x:c r="J6" s="557" t="n"/>
      <x:c r="K6" s="561" t="str">
        <x:f>IF(B6="","",IF(AND(B6="Phụ kiện khác",C6=""),"⚠ NHẬP TÊN PHỤ KIỆN",IF(C6="","⚠ NHẬP TÊN SẢN PHẨM","OK")))</x:f>
      </x:c>
      <x:c r="L6" s="627"/>
      <x:c r="M6" s="524"/>
      <x:c r="N6" s="524"/>
      <x:c r="O6" s="524"/>
    </x:row>
    <x:row r="7">
      <x:c r="A7" s="556" t="n"/>
      <x:c r="B7" s="557" t="n"/>
      <x:c r="C7" s="557" t="n"/>
      <x:c r="D7" s="557" t="n"/>
      <x:c r="E7" s="557" t="n"/>
      <x:c r="F7" s="562" t="n"/>
      <x:c r="G7" s="563" t="n"/>
      <x:c r="H7" s="564" t="str">
        <x:f>IF(OR(F7="",G7=""),"",F7*G7)</x:f>
      </x:c>
      <x:c r="I7" s="563" t="n"/>
      <x:c r="J7" s="557" t="n"/>
      <x:c r="K7" s="561" t="str">
        <x:f>IF(B7="","",IF(AND(B7="Phụ kiện khác",C7=""),"⚠ NHẬP TÊN PHỤ KIỆN",IF(C7="","⚠ NHẬP TÊN SẢN PHẨM","OK")))</x:f>
      </x:c>
      <x:c r="L7" s="627"/>
      <x:c r="M7" s="524"/>
      <x:c r="N7" s="524"/>
      <x:c r="O7" s="524"/>
    </x:row>
    <x:row r="8">
      <x:c r="A8" s="556" t="n"/>
      <x:c r="B8" s="557" t="n"/>
      <x:c r="C8" s="557" t="n"/>
      <x:c r="D8" s="557" t="n"/>
      <x:c r="E8" s="557" t="n"/>
      <x:c r="F8" s="562" t="n"/>
      <x:c r="G8" s="563" t="n"/>
      <x:c r="H8" s="564" t="str">
        <x:f>IF(OR(F8="",G8=""),"",F8*G8)</x:f>
      </x:c>
      <x:c r="I8" s="563" t="n"/>
      <x:c r="J8" s="557" t="n"/>
      <x:c r="K8" s="561" t="str">
        <x:f>IF(B8="","",IF(AND(B8="Phụ kiện khác",C8=""),"⚠ NHẬP TÊN PHỤ KIỆN",IF(C8="","⚠ NHẬP TÊN SẢN PHẨM","OK")))</x:f>
      </x:c>
      <x:c r="L8" s="627"/>
      <x:c r="M8" s="524"/>
      <x:c r="N8" s="524"/>
      <x:c r="O8" s="524"/>
    </x:row>
    <x:row r="9">
      <x:c r="A9" s="556" t="n"/>
      <x:c r="B9" s="557" t="n"/>
      <x:c r="C9" s="557" t="n"/>
      <x:c r="D9" s="557" t="n"/>
      <x:c r="E9" s="557" t="n"/>
      <x:c r="F9" s="562" t="n"/>
      <x:c r="G9" s="563" t="n"/>
      <x:c r="H9" s="564" t="str">
        <x:f>IF(OR(F9="",G9=""),"",F9*G9)</x:f>
      </x:c>
      <x:c r="I9" s="563" t="n"/>
      <x:c r="J9" s="557" t="n"/>
      <x:c r="K9" s="561" t="str">
        <x:f>IF(B9="","",IF(AND(B9="Phụ kiện khác",C9=""),"⚠ NHẬP TÊN PHỤ KIỆN",IF(C9="","⚠ NHẬP TÊN SẢN PHẨM","OK")))</x:f>
      </x:c>
      <x:c r="L9" s="627"/>
      <x:c r="M9" s="524"/>
      <x:c r="N9" s="524"/>
      <x:c r="O9" s="524"/>
    </x:row>
    <x:row r="10">
      <x:c r="A10" s="556" t="n"/>
      <x:c r="B10" s="557" t="n"/>
      <x:c r="C10" s="557" t="n"/>
      <x:c r="D10" s="557" t="n"/>
      <x:c r="E10" s="557" t="n"/>
      <x:c r="F10" s="562" t="n"/>
      <x:c r="G10" s="563" t="n"/>
      <x:c r="H10" s="564" t="str">
        <x:f>IF(OR(F10="",G10=""),"",F10*G10)</x:f>
      </x:c>
      <x:c r="I10" s="563" t="n"/>
      <x:c r="J10" s="557" t="n"/>
      <x:c r="K10" s="561" t="str">
        <x:f>IF(B10="","",IF(AND(B10="Phụ kiện khác",C10=""),"⚠ NHẬP TÊN PHỤ KIỆN",IF(C10="","⚠ NHẬP TÊN SẢN PHẨM","OK")))</x:f>
      </x:c>
      <x:c r="L10" s="627"/>
      <x:c r="M10" s="524"/>
      <x:c r="N10" s="524"/>
      <x:c r="O10" s="524"/>
    </x:row>
    <x:row r="11">
      <x:c r="A11" s="556" t="n"/>
      <x:c r="B11" s="557" t="n"/>
      <x:c r="C11" s="557" t="n"/>
      <x:c r="D11" s="557" t="n"/>
      <x:c r="E11" s="557" t="n"/>
      <x:c r="F11" s="562" t="n"/>
      <x:c r="G11" s="563" t="n"/>
      <x:c r="H11" s="564" t="str">
        <x:f>IF(OR(F11="",G11=""),"",F11*G11)</x:f>
      </x:c>
      <x:c r="I11" s="563" t="n"/>
      <x:c r="J11" s="557" t="n"/>
      <x:c r="K11" s="561" t="str">
        <x:f>IF(B11="","",IF(AND(B11="Phụ kiện khác",C11=""),"⚠ NHẬP TÊN PHỤ KIỆN",IF(C11="","⚠ NHẬP TÊN SẢN PHẨM","OK")))</x:f>
      </x:c>
      <x:c r="L11" s="627"/>
      <x:c r="M11" s="524"/>
      <x:c r="N11" s="524"/>
      <x:c r="O11" s="524"/>
    </x:row>
    <x:row r="12">
      <x:c r="A12" s="556" t="n"/>
      <x:c r="B12" s="557" t="n"/>
      <x:c r="C12" s="557" t="n"/>
      <x:c r="D12" s="557" t="n"/>
      <x:c r="E12" s="557" t="n"/>
      <x:c r="F12" s="562" t="n"/>
      <x:c r="G12" s="563" t="n"/>
      <x:c r="H12" s="564" t="str">
        <x:f>IF(OR(F12="",G12=""),"",F12*G12)</x:f>
      </x:c>
      <x:c r="I12" s="563" t="n"/>
      <x:c r="J12" s="557" t="n"/>
      <x:c r="K12" s="561" t="str">
        <x:f>IF(B12="","",IF(AND(B12="Phụ kiện khác",C12=""),"⚠ NHẬP TÊN PHỤ KIỆN",IF(C12="","⚠ NHẬP TÊN SẢN PHẨM","OK")))</x:f>
      </x:c>
      <x:c r="L12" s="627"/>
      <x:c r="M12" s="524"/>
      <x:c r="N12" s="524"/>
      <x:c r="O12" s="524"/>
    </x:row>
    <x:row r="13">
      <x:c r="A13" s="556" t="n"/>
      <x:c r="B13" s="557" t="n"/>
      <x:c r="C13" s="557" t="n"/>
      <x:c r="D13" s="557" t="n"/>
      <x:c r="E13" s="557" t="n"/>
      <x:c r="F13" s="562" t="n"/>
      <x:c r="G13" s="563" t="n"/>
      <x:c r="H13" s="564" t="str">
        <x:f>IF(OR(F13="",G13=""),"",F13*G13)</x:f>
      </x:c>
      <x:c r="I13" s="563" t="n"/>
      <x:c r="J13" s="557" t="n"/>
      <x:c r="K13" s="561" t="str">
        <x:f>IF(B13="","",IF(AND(B13="Phụ kiện khác",C13=""),"⚠ NHẬP TÊN PHỤ KIỆN",IF(C13="","⚠ NHẬP TÊN SẢN PHẨM","OK")))</x:f>
      </x:c>
      <x:c r="L13" s="627"/>
      <x:c r="M13" s="524"/>
      <x:c r="N13" s="524"/>
      <x:c r="O13" s="524"/>
    </x:row>
    <x:row r="14">
      <x:c r="A14" s="556" t="n"/>
      <x:c r="B14" s="557" t="n"/>
      <x:c r="C14" s="557" t="n"/>
      <x:c r="D14" s="557" t="n"/>
      <x:c r="E14" s="557" t="n"/>
      <x:c r="F14" s="562" t="n"/>
      <x:c r="G14" s="563" t="n"/>
      <x:c r="H14" s="564" t="str">
        <x:f>IF(OR(F14="",G14=""),"",F14*G14)</x:f>
      </x:c>
      <x:c r="I14" s="563" t="n"/>
      <x:c r="J14" s="557" t="n"/>
      <x:c r="K14" s="561" t="str">
        <x:f>IF(B14="","",IF(AND(B14="Phụ kiện khác",C14=""),"⚠ NHẬP TÊN PHỤ KIỆN",IF(C14="","⚠ NHẬP TÊN SẢN PHẨM","OK")))</x:f>
      </x:c>
      <x:c r="L14" s="627"/>
      <x:c r="M14" s="524"/>
      <x:c r="N14" s="524"/>
      <x:c r="O14" s="524"/>
    </x:row>
    <x:row r="15">
      <x:c r="A15" s="556" t="n"/>
      <x:c r="B15" s="557" t="n"/>
      <x:c r="C15" s="557" t="n"/>
      <x:c r="D15" s="557" t="n"/>
      <x:c r="E15" s="557" t="n"/>
      <x:c r="F15" s="562" t="n"/>
      <x:c r="G15" s="563" t="n"/>
      <x:c r="H15" s="564" t="str">
        <x:f>IF(OR(F15="",G15=""),"",F15*G15)</x:f>
      </x:c>
      <x:c r="I15" s="563" t="n"/>
      <x:c r="J15" s="557" t="n"/>
      <x:c r="K15" s="561" t="str">
        <x:f>IF(B15="","",IF(AND(B15="Phụ kiện khác",C15=""),"⚠ NHẬP TÊN PHỤ KIỆN",IF(C15="","⚠ NHẬP TÊN SẢN PHẨM","OK")))</x:f>
      </x:c>
      <x:c r="L15" s="627"/>
      <x:c r="M15" s="524"/>
      <x:c r="N15" s="524"/>
      <x:c r="O15" s="524"/>
    </x:row>
    <x:row r="16">
      <x:c r="A16" s="556" t="n"/>
      <x:c r="B16" s="557" t="n"/>
      <x:c r="C16" s="557" t="n"/>
      <x:c r="D16" s="557" t="n"/>
      <x:c r="E16" s="557" t="n"/>
      <x:c r="F16" s="562" t="n"/>
      <x:c r="G16" s="563" t="n"/>
      <x:c r="H16" s="564" t="str">
        <x:f>IF(OR(F16="",G16=""),"",F16*G16)</x:f>
      </x:c>
      <x:c r="I16" s="563" t="n"/>
      <x:c r="J16" s="557" t="n"/>
      <x:c r="K16" s="561" t="str">
        <x:f>IF(B16="","",IF(AND(B16="Phụ kiện khác",C16=""),"⚠ NHẬP TÊN PHỤ KIỆN",IF(C16="","⚠ NHẬP TÊN SẢN PHẨM","OK")))</x:f>
      </x:c>
      <x:c r="L16" s="627"/>
      <x:c r="M16" s="524"/>
      <x:c r="N16" s="524"/>
      <x:c r="O16" s="524"/>
    </x:row>
    <x:row r="17">
      <x:c r="A17" s="556" t="n"/>
      <x:c r="B17" s="557" t="n"/>
      <x:c r="C17" s="557" t="n"/>
      <x:c r="D17" s="557" t="n"/>
      <x:c r="E17" s="557" t="n"/>
      <x:c r="F17" s="562" t="n"/>
      <x:c r="G17" s="563" t="n"/>
      <x:c r="H17" s="564" t="str">
        <x:f>IF(OR(F17="",G17=""),"",F17*G17)</x:f>
      </x:c>
      <x:c r="I17" s="563" t="n"/>
      <x:c r="J17" s="557" t="n"/>
      <x:c r="K17" s="561" t="str">
        <x:f>IF(B17="","",IF(AND(B17="Phụ kiện khác",C17=""),"⚠ NHẬP TÊN PHỤ KIỆN",IF(C17="","⚠ NHẬP TÊN SẢN PHẨM","OK")))</x:f>
      </x:c>
      <x:c r="L17" s="627"/>
      <x:c r="M17" s="524"/>
      <x:c r="N17" s="524"/>
      <x:c r="O17" s="524"/>
    </x:row>
    <x:row r="18">
      <x:c r="A18" s="556" t="n"/>
      <x:c r="B18" s="557" t="n"/>
      <x:c r="C18" s="557" t="n"/>
      <x:c r="D18" s="557" t="n"/>
      <x:c r="E18" s="557" t="n"/>
      <x:c r="F18" s="562" t="n"/>
      <x:c r="G18" s="563" t="n"/>
      <x:c r="H18" s="564" t="str">
        <x:f>IF(OR(F18="",G18=""),"",F18*G18)</x:f>
      </x:c>
      <x:c r="I18" s="563" t="n"/>
      <x:c r="J18" s="557" t="n"/>
      <x:c r="K18" s="561" t="str">
        <x:f>IF(B18="","",IF(AND(B18="Phụ kiện khác",C18=""),"⚠ NHẬP TÊN PHỤ KIỆN",IF(C18="","⚠ NHẬP TÊN SẢN PHẨM","OK")))</x:f>
      </x:c>
      <x:c r="L18" s="627"/>
      <x:c r="M18" s="524"/>
      <x:c r="N18" s="524"/>
      <x:c r="O18" s="524"/>
    </x:row>
    <x:row r="19">
      <x:c r="A19" s="556" t="n"/>
      <x:c r="B19" s="557" t="n"/>
      <x:c r="C19" s="557" t="n"/>
      <x:c r="D19" s="557" t="n"/>
      <x:c r="E19" s="557" t="n"/>
      <x:c r="F19" s="562" t="n"/>
      <x:c r="G19" s="563" t="n"/>
      <x:c r="H19" s="564" t="str">
        <x:f>IF(OR(F19="",G19=""),"",F19*G19)</x:f>
      </x:c>
      <x:c r="I19" s="563" t="n"/>
      <x:c r="J19" s="557" t="n"/>
      <x:c r="K19" s="561" t="str">
        <x:f>IF(B19="","",IF(AND(B19="Phụ kiện khác",C19=""),"⚠ NHẬP TÊN PHỤ KIỆN",IF(C19="","⚠ NHẬP TÊN SẢN PHẨM","OK")))</x:f>
      </x:c>
      <x:c r="L19" s="627"/>
      <x:c r="M19" s="524"/>
      <x:c r="N19" s="524"/>
      <x:c r="O19" s="524"/>
    </x:row>
    <x:row r="20">
      <x:c r="A20" s="556" t="n"/>
      <x:c r="B20" s="557" t="n"/>
      <x:c r="C20" s="557" t="n"/>
      <x:c r="D20" s="557" t="n"/>
      <x:c r="E20" s="557" t="n"/>
      <x:c r="F20" s="562" t="n"/>
      <x:c r="G20" s="563" t="n"/>
      <x:c r="H20" s="564" t="str">
        <x:f>IF(OR(F20="",G20=""),"",F20*G20)</x:f>
      </x:c>
      <x:c r="I20" s="563" t="n"/>
      <x:c r="J20" s="557" t="n"/>
      <x:c r="K20" s="561" t="str">
        <x:f>IF(B20="","",IF(AND(B20="Phụ kiện khác",C20=""),"⚠ NHẬP TÊN PHỤ KIỆN",IF(C20="","⚠ NHẬP TÊN SẢN PHẨM","OK")))</x:f>
      </x:c>
      <x:c r="L20" s="627"/>
      <x:c r="M20" s="524"/>
      <x:c r="N20" s="524"/>
      <x:c r="O20" s="524"/>
    </x:row>
    <x:row r="21">
      <x:c r="A21" s="556" t="n"/>
      <x:c r="B21" s="557" t="n"/>
      <x:c r="C21" s="557" t="n"/>
      <x:c r="D21" s="557" t="n"/>
      <x:c r="E21" s="557" t="n"/>
      <x:c r="F21" s="562" t="n"/>
      <x:c r="G21" s="563" t="n"/>
      <x:c r="H21" s="564" t="str">
        <x:f>IF(OR(F21="",G21=""),"",F21*G21)</x:f>
      </x:c>
      <x:c r="I21" s="563" t="n"/>
      <x:c r="J21" s="557" t="n"/>
      <x:c r="K21" s="561" t="str">
        <x:f>IF(B21="","",IF(AND(B21="Phụ kiện khác",C21=""),"⚠ NHẬP TÊN PHỤ KIỆN",IF(C21="","⚠ NHẬP TÊN SẢN PHẨM","OK")))</x:f>
      </x:c>
      <x:c r="L21" s="627"/>
      <x:c r="M21" s="524"/>
      <x:c r="N21" s="524"/>
      <x:c r="O21" s="524"/>
    </x:row>
    <x:row r="22">
      <x:c r="A22" s="556" t="n"/>
      <x:c r="B22" s="557" t="n"/>
      <x:c r="C22" s="557" t="n"/>
      <x:c r="D22" s="557" t="n"/>
      <x:c r="E22" s="557" t="n"/>
      <x:c r="F22" s="562" t="n"/>
      <x:c r="G22" s="563" t="n"/>
      <x:c r="H22" s="564" t="str">
        <x:f>IF(OR(F22="",G22=""),"",F22*G22)</x:f>
      </x:c>
      <x:c r="I22" s="563" t="n"/>
      <x:c r="J22" s="557" t="n"/>
      <x:c r="K22" s="561" t="str">
        <x:f>IF(B22="","",IF(AND(B22="Phụ kiện khác",C22=""),"⚠ NHẬP TÊN PHỤ KIỆN",IF(C22="","⚠ NHẬP TÊN SẢN PHẨM","OK")))</x:f>
      </x:c>
      <x:c r="L22" s="627"/>
      <x:c r="M22" s="524"/>
      <x:c r="N22" s="524"/>
      <x:c r="O22" s="524"/>
    </x:row>
    <x:row r="23">
      <x:c r="A23" s="556" t="n"/>
      <x:c r="B23" s="557" t="n"/>
      <x:c r="C23" s="557" t="n"/>
      <x:c r="D23" s="557" t="n"/>
      <x:c r="E23" s="557" t="n"/>
      <x:c r="F23" s="562" t="n"/>
      <x:c r="G23" s="563" t="n"/>
      <x:c r="H23" s="564" t="str">
        <x:f>IF(OR(F23="",G23=""),"",F23*G23)</x:f>
      </x:c>
      <x:c r="I23" s="563" t="n"/>
      <x:c r="J23" s="557" t="n"/>
      <x:c r="K23" s="561" t="str">
        <x:f>IF(B23="","",IF(AND(B23="Phụ kiện khác",C23=""),"⚠ NHẬP TÊN PHỤ KIỆN",IF(C23="","⚠ NHẬP TÊN SẢN PHẨM","OK")))</x:f>
      </x:c>
      <x:c r="L23" s="627"/>
      <x:c r="M23" s="524"/>
      <x:c r="N23" s="524"/>
      <x:c r="O23" s="524"/>
    </x:row>
    <x:row r="24">
      <x:c r="A24" s="556" t="n"/>
      <x:c r="B24" s="557" t="n"/>
      <x:c r="C24" s="557" t="n"/>
      <x:c r="D24" s="557" t="n"/>
      <x:c r="E24" s="557" t="n"/>
      <x:c r="F24" s="562" t="n"/>
      <x:c r="G24" s="563" t="n"/>
      <x:c r="H24" s="564" t="str">
        <x:f>IF(OR(F24="",G24=""),"",F24*G24)</x:f>
      </x:c>
      <x:c r="I24" s="563" t="n"/>
      <x:c r="J24" s="557" t="n"/>
      <x:c r="K24" s="561" t="str">
        <x:f>IF(B24="","",IF(AND(B24="Phụ kiện khác",C24=""),"⚠ NHẬP TÊN PHỤ KIỆN",IF(C24="","⚠ NHẬP TÊN SẢN PHẨM","OK")))</x:f>
      </x:c>
      <x:c r="L24" s="627"/>
      <x:c r="M24" s="524"/>
      <x:c r="N24" s="524"/>
      <x:c r="O24" s="524"/>
    </x:row>
    <x:row r="25">
      <x:c r="A25" s="556" t="n"/>
      <x:c r="B25" s="557" t="n"/>
      <x:c r="C25" s="557" t="n"/>
      <x:c r="D25" s="557" t="n"/>
      <x:c r="E25" s="557" t="n"/>
      <x:c r="F25" s="562" t="n"/>
      <x:c r="G25" s="563" t="n"/>
      <x:c r="H25" s="564" t="str">
        <x:f>IF(OR(F25="",G25=""),"",F25*G25)</x:f>
      </x:c>
      <x:c r="I25" s="563" t="n"/>
      <x:c r="J25" s="557" t="n"/>
      <x:c r="K25" s="561" t="str">
        <x:f>IF(B25="","",IF(AND(B25="Phụ kiện khác",C25=""),"⚠ NHẬP TÊN PHỤ KIỆN",IF(C25="","⚠ NHẬP TÊN SẢN PHẨM","OK")))</x:f>
      </x:c>
      <x:c r="L25" s="627"/>
      <x:c r="M25" s="524"/>
      <x:c r="N25" s="524"/>
      <x:c r="O25" s="524"/>
    </x:row>
    <x:row r="26">
      <x:c r="A26" s="556" t="n"/>
      <x:c r="B26" s="557" t="n"/>
      <x:c r="C26" s="557" t="n"/>
      <x:c r="D26" s="557" t="n"/>
      <x:c r="E26" s="557" t="n"/>
      <x:c r="F26" s="562" t="n"/>
      <x:c r="G26" s="563" t="n"/>
      <x:c r="H26" s="564" t="str">
        <x:f>IF(OR(F26="",G26=""),"",F26*G26)</x:f>
      </x:c>
      <x:c r="I26" s="563" t="n"/>
      <x:c r="J26" s="557" t="n"/>
      <x:c r="K26" s="561" t="str">
        <x:f>IF(B26="","",IF(AND(B26="Phụ kiện khác",C26=""),"⚠ NHẬP TÊN PHỤ KIỆN",IF(C26="","⚠ NHẬP TÊN SẢN PHẨM","OK")))</x:f>
      </x:c>
      <x:c r="L26" s="627"/>
      <x:c r="M26" s="524"/>
      <x:c r="N26" s="524"/>
      <x:c r="O26" s="524"/>
    </x:row>
    <x:row r="27">
      <x:c r="A27" s="556" t="n"/>
      <x:c r="B27" s="557" t="n"/>
      <x:c r="C27" s="557" t="n"/>
      <x:c r="D27" s="557" t="n"/>
      <x:c r="E27" s="557" t="n"/>
      <x:c r="F27" s="562" t="n"/>
      <x:c r="G27" s="563" t="n"/>
      <x:c r="H27" s="564" t="str">
        <x:f>IF(OR(F27="",G27=""),"",F27*G27)</x:f>
      </x:c>
      <x:c r="I27" s="563" t="n"/>
      <x:c r="J27" s="557" t="n"/>
      <x:c r="K27" s="561" t="str">
        <x:f>IF(B27="","",IF(AND(B27="Phụ kiện khác",C27=""),"⚠ NHẬP TÊN PHỤ KIỆN",IF(C27="","⚠ NHẬP TÊN SẢN PHẨM","OK")))</x:f>
      </x:c>
      <x:c r="L27" s="627"/>
      <x:c r="M27" s="524"/>
      <x:c r="N27" s="524"/>
      <x:c r="O27" s="524"/>
    </x:row>
    <x:row r="28">
      <x:c r="A28" s="556" t="n"/>
      <x:c r="B28" s="557" t="n"/>
      <x:c r="C28" s="557" t="n"/>
      <x:c r="D28" s="557" t="n"/>
      <x:c r="E28" s="557" t="n"/>
      <x:c r="F28" s="562" t="n"/>
      <x:c r="G28" s="563" t="n"/>
      <x:c r="H28" s="564" t="str">
        <x:f>IF(OR(F28="",G28=""),"",F28*G28)</x:f>
      </x:c>
      <x:c r="I28" s="563" t="n"/>
      <x:c r="J28" s="557" t="n"/>
      <x:c r="K28" s="561" t="str">
        <x:f>IF(B28="","",IF(AND(B28="Phụ kiện khác",C28=""),"⚠ NHẬP TÊN PHỤ KIỆN",IF(C28="","⚠ NHẬP TÊN SẢN PHẨM","OK")))</x:f>
      </x:c>
      <x:c r="L28" s="627"/>
      <x:c r="M28" s="524"/>
      <x:c r="N28" s="524"/>
      <x:c r="O28" s="524"/>
    </x:row>
    <x:row r="29">
      <x:c r="A29" s="556" t="n"/>
      <x:c r="B29" s="557" t="n"/>
      <x:c r="C29" s="557" t="n"/>
      <x:c r="D29" s="557" t="n"/>
      <x:c r="E29" s="557" t="n"/>
      <x:c r="F29" s="562" t="n"/>
      <x:c r="G29" s="563" t="n"/>
      <x:c r="H29" s="564" t="str">
        <x:f>IF(OR(F29="",G29=""),"",F29*G29)</x:f>
      </x:c>
      <x:c r="I29" s="563" t="n"/>
      <x:c r="J29" s="557" t="n"/>
      <x:c r="K29" s="561" t="str">
        <x:f>IF(B29="","",IF(AND(B29="Phụ kiện khác",C29=""),"⚠ NHẬP TÊN PHỤ KIỆN",IF(C29="","⚠ NHẬP TÊN SẢN PHẨM","OK")))</x:f>
      </x:c>
      <x:c r="L29" s="627"/>
      <x:c r="M29" s="524"/>
      <x:c r="N29" s="524"/>
      <x:c r="O29" s="524"/>
    </x:row>
    <x:row r="30">
      <x:c r="A30" s="556" t="n"/>
      <x:c r="B30" s="557" t="n"/>
      <x:c r="C30" s="557" t="n"/>
      <x:c r="D30" s="557" t="n"/>
      <x:c r="E30" s="557" t="n"/>
      <x:c r="F30" s="562" t="n"/>
      <x:c r="G30" s="563" t="n"/>
      <x:c r="H30" s="564" t="str">
        <x:f>IF(OR(F30="",G30=""),"",F30*G30)</x:f>
      </x:c>
      <x:c r="I30" s="563" t="n"/>
      <x:c r="J30" s="557" t="n"/>
      <x:c r="K30" s="561" t="str">
        <x:f>IF(B30="","",IF(AND(B30="Phụ kiện khác",C30=""),"⚠ NHẬP TÊN PHỤ KIỆN",IF(C30="","⚠ NHẬP TÊN SẢN PHẨM","OK")))</x:f>
      </x:c>
      <x:c r="L30" s="627"/>
      <x:c r="M30" s="524"/>
      <x:c r="N30" s="524"/>
      <x:c r="O30" s="524"/>
    </x:row>
    <x:row r="31">
      <x:c r="A31" s="556" t="n"/>
      <x:c r="B31" s="557" t="n"/>
      <x:c r="C31" s="557" t="n"/>
      <x:c r="D31" s="557" t="n"/>
      <x:c r="E31" s="557" t="n"/>
      <x:c r="F31" s="562" t="n"/>
      <x:c r="G31" s="563" t="n"/>
      <x:c r="H31" s="564" t="str">
        <x:f>IF(OR(F31="",G31=""),"",F31*G31)</x:f>
      </x:c>
      <x:c r="I31" s="563" t="n"/>
      <x:c r="J31" s="557" t="n"/>
      <x:c r="K31" s="561" t="str">
        <x:f>IF(B31="","",IF(AND(B31="Phụ kiện khác",C31=""),"⚠ NHẬP TÊN PHỤ KIỆN",IF(C31="","⚠ NHẬP TÊN SẢN PHẨM","OK")))</x:f>
      </x:c>
      <x:c r="L31" s="627"/>
      <x:c r="M31" s="524"/>
      <x:c r="N31" s="524"/>
      <x:c r="O31" s="524"/>
    </x:row>
    <x:row r="32">
      <x:c r="A32" s="556" t="n"/>
      <x:c r="B32" s="557" t="n"/>
      <x:c r="C32" s="557" t="n"/>
      <x:c r="D32" s="557" t="n"/>
      <x:c r="E32" s="557" t="n"/>
      <x:c r="F32" s="562" t="n"/>
      <x:c r="G32" s="563" t="n"/>
      <x:c r="H32" s="564" t="str">
        <x:f>IF(OR(F32="",G32=""),"",F32*G32)</x:f>
      </x:c>
      <x:c r="I32" s="563" t="n"/>
      <x:c r="J32" s="557" t="n"/>
      <x:c r="K32" s="561" t="str">
        <x:f>IF(B32="","",IF(AND(B32="Phụ kiện khác",C32=""),"⚠ NHẬP TÊN PHỤ KIỆN",IF(C32="","⚠ NHẬP TÊN SẢN PHẨM","OK")))</x:f>
      </x:c>
      <x:c r="L32" s="627"/>
      <x:c r="M32" s="524"/>
      <x:c r="N32" s="524"/>
      <x:c r="O32" s="524"/>
    </x:row>
    <x:row r="33">
      <x:c r="A33" s="556" t="n"/>
      <x:c r="B33" s="557" t="n"/>
      <x:c r="C33" s="557" t="n"/>
      <x:c r="D33" s="557" t="n"/>
      <x:c r="E33" s="557" t="n"/>
      <x:c r="F33" s="562" t="n"/>
      <x:c r="G33" s="563" t="n"/>
      <x:c r="H33" s="564" t="str">
        <x:f>IF(OR(F33="",G33=""),"",F33*G33)</x:f>
      </x:c>
      <x:c r="I33" s="563" t="n"/>
      <x:c r="J33" s="557" t="n"/>
      <x:c r="K33" s="561" t="str">
        <x:f>IF(B33="","",IF(AND(B33="Phụ kiện khác",C33=""),"⚠ NHẬP TÊN PHỤ KIỆN",IF(C33="","⚠ NHẬP TÊN SẢN PHẨM","OK")))</x:f>
      </x:c>
      <x:c r="L33" s="627"/>
      <x:c r="M33" s="524"/>
      <x:c r="N33" s="524"/>
      <x:c r="O33" s="524"/>
    </x:row>
    <x:row r="34">
      <x:c r="A34" s="556" t="n"/>
      <x:c r="B34" s="557" t="n"/>
      <x:c r="C34" s="557" t="n"/>
      <x:c r="D34" s="557" t="n"/>
      <x:c r="E34" s="557" t="n"/>
      <x:c r="F34" s="562" t="n"/>
      <x:c r="G34" s="563" t="n"/>
      <x:c r="H34" s="564" t="str">
        <x:f>IF(OR(F34="",G34=""),"",F34*G34)</x:f>
      </x:c>
      <x:c r="I34" s="563" t="n"/>
      <x:c r="J34" s="557" t="n"/>
      <x:c r="K34" s="561" t="str">
        <x:f>IF(B34="","",IF(AND(B34="Phụ kiện khác",C34=""),"⚠ NHẬP TÊN PHỤ KIỆN",IF(C34="","⚠ NHẬP TÊN SẢN PHẨM","OK")))</x:f>
      </x:c>
      <x:c r="L34" s="627"/>
      <x:c r="M34" s="524"/>
      <x:c r="N34" s="524"/>
      <x:c r="O34" s="524"/>
    </x:row>
    <x:row r="35">
      <x:c r="A35" s="556" t="n"/>
      <x:c r="B35" s="557" t="n"/>
      <x:c r="C35" s="557" t="n"/>
      <x:c r="D35" s="557" t="n"/>
      <x:c r="E35" s="557" t="n"/>
      <x:c r="F35" s="562" t="n"/>
      <x:c r="G35" s="563" t="n"/>
      <x:c r="H35" s="564" t="str">
        <x:f>IF(OR(F35="",G35=""),"",F35*G35)</x:f>
      </x:c>
      <x:c r="I35" s="563" t="n"/>
      <x:c r="J35" s="557" t="n"/>
      <x:c r="K35" s="561" t="str">
        <x:f>IF(B35="","",IF(AND(B35="Phụ kiện khác",C35=""),"⚠ NHẬP TÊN PHỤ KIỆN",IF(C35="","⚠ NHẬP TÊN SẢN PHẨM","OK")))</x:f>
      </x:c>
      <x:c r="L35" s="627"/>
      <x:c r="M35" s="524"/>
      <x:c r="N35" s="524"/>
      <x:c r="O35" s="524"/>
    </x:row>
    <x:row r="36">
      <x:c r="A36" s="556" t="n"/>
      <x:c r="B36" s="557" t="n"/>
      <x:c r="C36" s="557" t="n"/>
      <x:c r="D36" s="557" t="n"/>
      <x:c r="E36" s="557" t="n"/>
      <x:c r="F36" s="562" t="n"/>
      <x:c r="G36" s="563" t="n"/>
      <x:c r="H36" s="564" t="str">
        <x:f>IF(OR(F36="",G36=""),"",F36*G36)</x:f>
      </x:c>
      <x:c r="I36" s="563" t="n"/>
      <x:c r="J36" s="557" t="n"/>
      <x:c r="K36" s="561" t="str">
        <x:f>IF(B36="","",IF(AND(B36="Phụ kiện khác",C36=""),"⚠ NHẬP TÊN PHỤ KIỆN",IF(C36="","⚠ NHẬP TÊN SẢN PHẨM","OK")))</x:f>
      </x:c>
      <x:c r="L36" s="627"/>
      <x:c r="M36" s="524"/>
      <x:c r="N36" s="524"/>
      <x:c r="O36" s="524"/>
    </x:row>
    <x:row r="37">
      <x:c r="A37" s="556" t="n"/>
      <x:c r="B37" s="557" t="n"/>
      <x:c r="C37" s="557" t="n"/>
      <x:c r="D37" s="557" t="n"/>
      <x:c r="E37" s="557" t="n"/>
      <x:c r="F37" s="562" t="n"/>
      <x:c r="G37" s="563" t="n"/>
      <x:c r="H37" s="564" t="str">
        <x:f>IF(OR(F37="",G37=""),"",F37*G37)</x:f>
      </x:c>
      <x:c r="I37" s="563" t="n"/>
      <x:c r="J37" s="557" t="n"/>
      <x:c r="K37" s="561" t="str">
        <x:f>IF(B37="","",IF(AND(B37="Phụ kiện khác",C37=""),"⚠ NHẬP TÊN PHỤ KIỆN",IF(C37="","⚠ NHẬP TÊN SẢN PHẨM","OK")))</x:f>
      </x:c>
      <x:c r="L37" s="627"/>
      <x:c r="M37" s="524"/>
      <x:c r="N37" s="524"/>
      <x:c r="O37" s="524"/>
    </x:row>
    <x:row r="38">
      <x:c r="A38" s="556" t="n"/>
      <x:c r="B38" s="557" t="n"/>
      <x:c r="C38" s="557" t="n"/>
      <x:c r="D38" s="557" t="n"/>
      <x:c r="E38" s="557" t="n"/>
      <x:c r="F38" s="562" t="n"/>
      <x:c r="G38" s="563" t="n"/>
      <x:c r="H38" s="564" t="str">
        <x:f>IF(OR(F38="",G38=""),"",F38*G38)</x:f>
      </x:c>
      <x:c r="I38" s="563" t="n"/>
      <x:c r="J38" s="557" t="n"/>
      <x:c r="K38" s="561" t="str">
        <x:f>IF(B38="","",IF(AND(B38="Phụ kiện khác",C38=""),"⚠ NHẬP TÊN PHỤ KIỆN",IF(C38="","⚠ NHẬP TÊN SẢN PHẨM","OK")))</x:f>
      </x:c>
      <x:c r="L38" s="627"/>
      <x:c r="M38" s="524"/>
      <x:c r="N38" s="524"/>
      <x:c r="O38" s="524"/>
    </x:row>
    <x:row r="39">
      <x:c r="A39" s="556" t="n"/>
      <x:c r="B39" s="557" t="n"/>
      <x:c r="C39" s="557" t="n"/>
      <x:c r="D39" s="557" t="n"/>
      <x:c r="E39" s="557" t="n"/>
      <x:c r="F39" s="562" t="n"/>
      <x:c r="G39" s="563" t="n"/>
      <x:c r="H39" s="564" t="str">
        <x:f>IF(OR(F39="",G39=""),"",F39*G39)</x:f>
      </x:c>
      <x:c r="I39" s="563" t="n"/>
      <x:c r="J39" s="557" t="n"/>
      <x:c r="K39" s="561" t="str">
        <x:f>IF(B39="","",IF(AND(B39="Phụ kiện khác",C39=""),"⚠ NHẬP TÊN PHỤ KIỆN",IF(C39="","⚠ NHẬP TÊN SẢN PHẨM","OK")))</x:f>
      </x:c>
      <x:c r="L39" s="627"/>
      <x:c r="M39" s="524"/>
      <x:c r="N39" s="524"/>
      <x:c r="O39" s="524"/>
    </x:row>
    <x:row r="40">
      <x:c r="A40" s="556" t="n"/>
      <x:c r="B40" s="557" t="n"/>
      <x:c r="C40" s="557" t="n"/>
      <x:c r="D40" s="557" t="n"/>
      <x:c r="E40" s="557" t="n"/>
      <x:c r="F40" s="562" t="n"/>
      <x:c r="G40" s="563" t="n"/>
      <x:c r="H40" s="564" t="str">
        <x:f>IF(OR(F40="",G40=""),"",F40*G40)</x:f>
      </x:c>
      <x:c r="I40" s="563" t="n"/>
      <x:c r="J40" s="557" t="n"/>
      <x:c r="K40" s="561" t="str">
        <x:f>IF(B40="","",IF(AND(B40="Phụ kiện khác",C40=""),"⚠ NHẬP TÊN PHỤ KIỆN",IF(C40="","⚠ NHẬP TÊN SẢN PHẨM","OK")))</x:f>
      </x:c>
      <x:c r="L40" s="627"/>
      <x:c r="M40" s="524"/>
      <x:c r="N40" s="524"/>
      <x:c r="O40" s="524"/>
    </x:row>
    <x:row r="41">
      <x:c r="A41" s="556" t="n"/>
      <x:c r="B41" s="557" t="n"/>
      <x:c r="C41" s="557" t="n"/>
      <x:c r="D41" s="557" t="n"/>
      <x:c r="E41" s="557" t="n"/>
      <x:c r="F41" s="562" t="n"/>
      <x:c r="G41" s="563" t="n"/>
      <x:c r="H41" s="564" t="str">
        <x:f>IF(OR(F41="",G41=""),"",F41*G41)</x:f>
      </x:c>
      <x:c r="I41" s="563" t="n"/>
      <x:c r="J41" s="557" t="n"/>
      <x:c r="K41" s="561" t="str">
        <x:f>IF(B41="","",IF(AND(B41="Phụ kiện khác",C41=""),"⚠ NHẬP TÊN PHỤ KIỆN",IF(C41="","⚠ NHẬP TÊN SẢN PHẨM","OK")))</x:f>
      </x:c>
      <x:c r="L41" s="627"/>
      <x:c r="M41" s="524"/>
      <x:c r="N41" s="524"/>
      <x:c r="O41" s="524"/>
    </x:row>
    <x:row r="42">
      <x:c r="A42" s="556" t="n"/>
      <x:c r="B42" s="557" t="n"/>
      <x:c r="C42" s="557" t="n"/>
      <x:c r="D42" s="557" t="n"/>
      <x:c r="E42" s="557" t="n"/>
      <x:c r="F42" s="562" t="n"/>
      <x:c r="G42" s="563" t="n"/>
      <x:c r="H42" s="564" t="str">
        <x:f>IF(OR(F42="",G42=""),"",F42*G42)</x:f>
      </x:c>
      <x:c r="I42" s="563" t="n"/>
      <x:c r="J42" s="557" t="n"/>
      <x:c r="K42" s="561" t="str">
        <x:f>IF(B42="","",IF(AND(B42="Phụ kiện khác",C42=""),"⚠ NHẬP TÊN PHỤ KIỆN",IF(C42="","⚠ NHẬP TÊN SẢN PHẨM","OK")))</x:f>
      </x:c>
      <x:c r="L42" s="627"/>
      <x:c r="M42" s="524"/>
      <x:c r="N42" s="524"/>
      <x:c r="O42" s="524"/>
    </x:row>
    <x:row r="43">
      <x:c r="A43" s="556" t="n"/>
      <x:c r="B43" s="557" t="n"/>
      <x:c r="C43" s="557" t="n"/>
      <x:c r="D43" s="557" t="n"/>
      <x:c r="E43" s="557" t="n"/>
      <x:c r="F43" s="562" t="n"/>
      <x:c r="G43" s="563" t="n"/>
      <x:c r="H43" s="564" t="str">
        <x:f>IF(OR(F43="",G43=""),"",F43*G43)</x:f>
      </x:c>
      <x:c r="I43" s="563" t="n"/>
      <x:c r="J43" s="557" t="n"/>
      <x:c r="K43" s="561" t="str">
        <x:f>IF(B43="","",IF(AND(B43="Phụ kiện khác",C43=""),"⚠ NHẬP TÊN PHỤ KIỆN",IF(C43="","⚠ NHẬP TÊN SẢN PHẨM","OK")))</x:f>
      </x:c>
      <x:c r="L43" s="627"/>
      <x:c r="M43" s="524"/>
      <x:c r="N43" s="524"/>
      <x:c r="O43" s="524"/>
    </x:row>
    <x:row r="44">
      <x:c r="A44" s="556" t="n"/>
      <x:c r="B44" s="557" t="n"/>
      <x:c r="C44" s="557" t="n"/>
      <x:c r="D44" s="557" t="n"/>
      <x:c r="E44" s="557" t="n"/>
      <x:c r="F44" s="562" t="n"/>
      <x:c r="G44" s="563" t="n"/>
      <x:c r="H44" s="564" t="str">
        <x:f>IF(OR(F44="",G44=""),"",F44*G44)</x:f>
      </x:c>
      <x:c r="I44" s="563" t="n"/>
      <x:c r="J44" s="557" t="n"/>
      <x:c r="K44" s="561" t="str">
        <x:f>IF(B44="","",IF(AND(B44="Phụ kiện khác",C44=""),"⚠ NHẬP TÊN PHỤ KIỆN",IF(C44="","⚠ NHẬP TÊN SẢN PHẨM","OK")))</x:f>
      </x:c>
      <x:c r="L44" s="627"/>
      <x:c r="M44" s="524"/>
      <x:c r="N44" s="524"/>
      <x:c r="O44" s="524"/>
    </x:row>
    <x:row r="45">
      <x:c r="A45" s="556" t="n"/>
      <x:c r="B45" s="557" t="n"/>
      <x:c r="C45" s="557" t="n"/>
      <x:c r="D45" s="557" t="n"/>
      <x:c r="E45" s="557" t="n"/>
      <x:c r="F45" s="562" t="n"/>
      <x:c r="G45" s="563" t="n"/>
      <x:c r="H45" s="564" t="str">
        <x:f>IF(OR(F45="",G45=""),"",F45*G45)</x:f>
      </x:c>
      <x:c r="I45" s="563" t="n"/>
      <x:c r="J45" s="557" t="n"/>
      <x:c r="K45" s="561" t="str">
        <x:f>IF(B45="","",IF(AND(B45="Phụ kiện khác",C45=""),"⚠ NHẬP TÊN PHỤ KIỆN",IF(C45="","⚠ NHẬP TÊN SẢN PHẨM","OK")))</x:f>
      </x:c>
      <x:c r="L45" s="627"/>
      <x:c r="M45" s="524"/>
      <x:c r="N45" s="524"/>
      <x:c r="O45" s="524"/>
    </x:row>
    <x:row r="46">
      <x:c r="A46" s="556" t="n"/>
      <x:c r="B46" s="557" t="n"/>
      <x:c r="C46" s="557" t="n"/>
      <x:c r="D46" s="557" t="n"/>
      <x:c r="E46" s="557" t="n"/>
      <x:c r="F46" s="562" t="n"/>
      <x:c r="G46" s="563" t="n"/>
      <x:c r="H46" s="564" t="str">
        <x:f>IF(OR(F46="",G46=""),"",F46*G46)</x:f>
      </x:c>
      <x:c r="I46" s="563" t="n"/>
      <x:c r="J46" s="557" t="n"/>
      <x:c r="K46" s="561" t="str">
        <x:f>IF(B46="","",IF(AND(B46="Phụ kiện khác",C46=""),"⚠ NHẬP TÊN PHỤ KIỆN",IF(C46="","⚠ NHẬP TÊN SẢN PHẨM","OK")))</x:f>
      </x:c>
      <x:c r="L46" s="627"/>
      <x:c r="M46" s="524"/>
      <x:c r="N46" s="524"/>
      <x:c r="O46" s="524"/>
    </x:row>
    <x:row r="47">
      <x:c r="A47" s="556" t="n"/>
      <x:c r="B47" s="557" t="n"/>
      <x:c r="C47" s="557" t="n"/>
      <x:c r="D47" s="557" t="n"/>
      <x:c r="E47" s="557" t="n"/>
      <x:c r="F47" s="562" t="n"/>
      <x:c r="G47" s="563" t="n"/>
      <x:c r="H47" s="564" t="str">
        <x:f>IF(OR(F47="",G47=""),"",F47*G47)</x:f>
      </x:c>
      <x:c r="I47" s="563" t="n"/>
      <x:c r="J47" s="557" t="n"/>
      <x:c r="K47" s="561" t="str">
        <x:f>IF(B47="","",IF(AND(B47="Phụ kiện khác",C47=""),"⚠ NHẬP TÊN PHỤ KIỆN",IF(C47="","⚠ NHẬP TÊN SẢN PHẨM","OK")))</x:f>
      </x:c>
      <x:c r="L47" s="627"/>
      <x:c r="M47" s="524"/>
      <x:c r="N47" s="524"/>
      <x:c r="O47" s="524"/>
    </x:row>
    <x:row r="48">
      <x:c r="A48" s="556" t="n"/>
      <x:c r="B48" s="557" t="n"/>
      <x:c r="C48" s="557" t="n"/>
      <x:c r="D48" s="557" t="n"/>
      <x:c r="E48" s="557" t="n"/>
      <x:c r="F48" s="562" t="n"/>
      <x:c r="G48" s="563" t="n"/>
      <x:c r="H48" s="564" t="str">
        <x:f>IF(OR(F48="",G48=""),"",F48*G48)</x:f>
      </x:c>
      <x:c r="I48" s="563" t="n"/>
      <x:c r="J48" s="557" t="n"/>
      <x:c r="K48" s="561" t="str">
        <x:f>IF(B48="","",IF(AND(B48="Phụ kiện khác",C48=""),"⚠ NHẬP TÊN PHỤ KIỆN",IF(C48="","⚠ NHẬP TÊN SẢN PHẨM","OK")))</x:f>
      </x:c>
      <x:c r="L48" s="627"/>
      <x:c r="M48" s="524"/>
      <x:c r="N48" s="524"/>
      <x:c r="O48" s="524"/>
    </x:row>
    <x:row r="49">
      <x:c r="A49" s="556" t="n"/>
      <x:c r="B49" s="557" t="n"/>
      <x:c r="C49" s="557" t="n"/>
      <x:c r="D49" s="557" t="n"/>
      <x:c r="E49" s="557" t="n"/>
      <x:c r="F49" s="562" t="n"/>
      <x:c r="G49" s="563" t="n"/>
      <x:c r="H49" s="564" t="str">
        <x:f>IF(OR(F49="",G49=""),"",F49*G49)</x:f>
      </x:c>
      <x:c r="I49" s="563" t="n"/>
      <x:c r="J49" s="557" t="n"/>
      <x:c r="K49" s="561" t="str">
        <x:f>IF(B49="","",IF(AND(B49="Phụ kiện khác",C49=""),"⚠ NHẬP TÊN PHỤ KIỆN",IF(C49="","⚠ NHẬP TÊN SẢN PHẨM","OK")))</x:f>
      </x:c>
      <x:c r="L49" s="627"/>
      <x:c r="M49" s="524"/>
      <x:c r="N49" s="524"/>
      <x:c r="O49" s="524"/>
    </x:row>
    <x:row r="50">
      <x:c r="A50" s="556" t="n"/>
      <x:c r="B50" s="557" t="n"/>
      <x:c r="C50" s="557" t="n"/>
      <x:c r="D50" s="557" t="n"/>
      <x:c r="E50" s="557" t="n"/>
      <x:c r="F50" s="562" t="n"/>
      <x:c r="G50" s="563" t="n"/>
      <x:c r="H50" s="564" t="str">
        <x:f>IF(OR(F50="",G50=""),"",F50*G50)</x:f>
      </x:c>
      <x:c r="I50" s="563" t="n"/>
      <x:c r="J50" s="557" t="n"/>
      <x:c r="K50" s="561" t="str">
        <x:f>IF(B50="","",IF(AND(B50="Phụ kiện khác",C50=""),"⚠ NHẬP TÊN PHỤ KIỆN",IF(C50="","⚠ NHẬP TÊN SẢN PHẨM","OK")))</x:f>
      </x:c>
      <x:c r="L50" s="627"/>
      <x:c r="M50" s="524"/>
      <x:c r="N50" s="524"/>
      <x:c r="O50" s="524"/>
    </x:row>
    <x:row r="51">
      <x:c r="A51" s="556" t="n"/>
      <x:c r="B51" s="557" t="n"/>
      <x:c r="C51" s="557" t="n"/>
      <x:c r="D51" s="557" t="n"/>
      <x:c r="E51" s="557" t="n"/>
      <x:c r="F51" s="562" t="n"/>
      <x:c r="G51" s="563" t="n"/>
      <x:c r="H51" s="564" t="str">
        <x:f>IF(OR(F51="",G51=""),"",F51*G51)</x:f>
      </x:c>
      <x:c r="I51" s="563" t="n"/>
      <x:c r="J51" s="557" t="n"/>
      <x:c r="K51" s="561" t="str">
        <x:f>IF(B51="","",IF(AND(B51="Phụ kiện khác",C51=""),"⚠ NHẬP TÊN PHỤ KIỆN",IF(C51="","⚠ NHẬP TÊN SẢN PHẨM","OK")))</x:f>
      </x:c>
      <x:c r="L51" s="627"/>
      <x:c r="M51" s="524"/>
      <x:c r="N51" s="524"/>
      <x:c r="O51" s="524"/>
    </x:row>
    <x:row r="52">
      <x:c r="A52" s="556" t="n"/>
      <x:c r="B52" s="557" t="n"/>
      <x:c r="C52" s="557" t="n"/>
      <x:c r="D52" s="557" t="n"/>
      <x:c r="E52" s="557" t="n"/>
      <x:c r="F52" s="562" t="n"/>
      <x:c r="G52" s="563" t="n"/>
      <x:c r="H52" s="564" t="str">
        <x:f>IF(OR(F52="",G52=""),"",F52*G52)</x:f>
      </x:c>
      <x:c r="I52" s="563" t="n"/>
      <x:c r="J52" s="557" t="n"/>
      <x:c r="K52" s="561" t="str">
        <x:f>IF(B52="","",IF(AND(B52="Phụ kiện khác",C52=""),"⚠ NHẬP TÊN PHỤ KIỆN",IF(C52="","⚠ NHẬP TÊN SẢN PHẨM","OK")))</x:f>
      </x:c>
      <x:c r="L52" s="627"/>
      <x:c r="M52" s="524"/>
      <x:c r="N52" s="524"/>
      <x:c r="O52" s="524"/>
    </x:row>
    <x:row r="53">
      <x:c r="A53" s="556" t="n"/>
      <x:c r="B53" s="557" t="n"/>
      <x:c r="C53" s="557" t="n"/>
      <x:c r="D53" s="557" t="n"/>
      <x:c r="E53" s="557" t="n"/>
      <x:c r="F53" s="562" t="n"/>
      <x:c r="G53" s="563" t="n"/>
      <x:c r="H53" s="564" t="str">
        <x:f>IF(OR(F53="",G53=""),"",F53*G53)</x:f>
      </x:c>
      <x:c r="I53" s="563" t="n"/>
      <x:c r="J53" s="557" t="n"/>
      <x:c r="K53" s="561" t="str">
        <x:f>IF(B53="","",IF(AND(B53="Phụ kiện khác",C53=""),"⚠ NHẬP TÊN PHỤ KIỆN",IF(C53="","⚠ NHẬP TÊN SẢN PHẨM","OK")))</x:f>
      </x:c>
      <x:c r="L53" s="627"/>
      <x:c r="M53" s="524"/>
      <x:c r="N53" s="524"/>
      <x:c r="O53" s="524"/>
    </x:row>
    <x:row r="54">
      <x:c r="A54" s="556" t="n"/>
      <x:c r="B54" s="557" t="n"/>
      <x:c r="C54" s="557" t="n"/>
      <x:c r="D54" s="557" t="n"/>
      <x:c r="E54" s="557" t="n"/>
      <x:c r="F54" s="562" t="n"/>
      <x:c r="G54" s="563" t="n"/>
      <x:c r="H54" s="564" t="str">
        <x:f>IF(OR(F54="",G54=""),"",F54*G54)</x:f>
      </x:c>
      <x:c r="I54" s="563" t="n"/>
      <x:c r="J54" s="557" t="n"/>
      <x:c r="K54" s="561" t="str">
        <x:f>IF(B54="","",IF(AND(B54="Phụ kiện khác",C54=""),"⚠ NHẬP TÊN PHỤ KIỆN",IF(C54="","⚠ NHẬP TÊN SẢN PHẨM","OK")))</x:f>
      </x:c>
      <x:c r="L54" s="627"/>
      <x:c r="M54" s="524"/>
      <x:c r="N54" s="524"/>
      <x:c r="O54" s="524"/>
    </x:row>
    <x:row r="55">
      <x:c r="A55" s="556" t="n"/>
      <x:c r="B55" s="557" t="n"/>
      <x:c r="C55" s="557" t="n"/>
      <x:c r="D55" s="557" t="n"/>
      <x:c r="E55" s="557" t="n"/>
      <x:c r="F55" s="562" t="n"/>
      <x:c r="G55" s="563" t="n"/>
      <x:c r="H55" s="564" t="str">
        <x:f>IF(OR(F55="",G55=""),"",F55*G55)</x:f>
      </x:c>
      <x:c r="I55" s="563" t="n"/>
      <x:c r="J55" s="557" t="n"/>
      <x:c r="K55" s="561" t="str">
        <x:f>IF(B55="","",IF(AND(B55="Phụ kiện khác",C55=""),"⚠ NHẬP TÊN PHỤ KIỆN",IF(C55="","⚠ NHẬP TÊN SẢN PHẨM","OK")))</x:f>
      </x:c>
      <x:c r="L55" s="627"/>
      <x:c r="M55" s="524"/>
      <x:c r="N55" s="524"/>
      <x:c r="O55" s="524"/>
    </x:row>
    <x:row r="56">
      <x:c r="A56" s="556" t="n"/>
      <x:c r="B56" s="557" t="n"/>
      <x:c r="C56" s="557" t="n"/>
      <x:c r="D56" s="557" t="n"/>
      <x:c r="E56" s="557" t="n"/>
      <x:c r="F56" s="562" t="n"/>
      <x:c r="G56" s="563" t="n"/>
      <x:c r="H56" s="564" t="str">
        <x:f>IF(OR(F56="",G56=""),"",F56*G56)</x:f>
      </x:c>
      <x:c r="I56" s="563" t="n"/>
      <x:c r="J56" s="557" t="n"/>
      <x:c r="K56" s="561" t="str">
        <x:f>IF(B56="","",IF(AND(B56="Phụ kiện khác",C56=""),"⚠ NHẬP TÊN PHỤ KIỆN",IF(C56="","⚠ NHẬP TÊN SẢN PHẨM","OK")))</x:f>
      </x:c>
      <x:c r="L56" s="627"/>
      <x:c r="M56" s="524"/>
      <x:c r="N56" s="524"/>
      <x:c r="O56" s="524"/>
    </x:row>
    <x:row r="57">
      <x:c r="A57" s="556" t="n"/>
      <x:c r="B57" s="557" t="n"/>
      <x:c r="C57" s="557" t="n"/>
      <x:c r="D57" s="557" t="n"/>
      <x:c r="E57" s="557" t="n"/>
      <x:c r="F57" s="562" t="n"/>
      <x:c r="G57" s="563" t="n"/>
      <x:c r="H57" s="564" t="str">
        <x:f>IF(OR(F57="",G57=""),"",F57*G57)</x:f>
      </x:c>
      <x:c r="I57" s="563" t="n"/>
      <x:c r="J57" s="557" t="n"/>
      <x:c r="K57" s="561" t="str">
        <x:f>IF(B57="","",IF(AND(B57="Phụ kiện khác",C57=""),"⚠ NHẬP TÊN PHỤ KIỆN",IF(C57="","⚠ NHẬP TÊN SẢN PHẨM","OK")))</x:f>
      </x:c>
      <x:c r="L57" s="627"/>
      <x:c r="M57" s="524"/>
      <x:c r="N57" s="524"/>
      <x:c r="O57" s="524"/>
    </x:row>
    <x:row r="58">
      <x:c r="A58" s="556" t="n"/>
      <x:c r="B58" s="557" t="n"/>
      <x:c r="C58" s="557" t="n"/>
      <x:c r="D58" s="557" t="n"/>
      <x:c r="E58" s="557" t="n"/>
      <x:c r="F58" s="562" t="n"/>
      <x:c r="G58" s="563" t="n"/>
      <x:c r="H58" s="564" t="str">
        <x:f>IF(OR(F58="",G58=""),"",F58*G58)</x:f>
      </x:c>
      <x:c r="I58" s="563" t="n"/>
      <x:c r="J58" s="557" t="n"/>
      <x:c r="K58" s="561" t="str">
        <x:f>IF(B58="","",IF(AND(B58="Phụ kiện khác",C58=""),"⚠ NHẬP TÊN PHỤ KIỆN",IF(C58="","⚠ NHẬP TÊN SẢN PHẨM","OK")))</x:f>
      </x:c>
      <x:c r="L58" s="627"/>
      <x:c r="M58" s="524"/>
      <x:c r="N58" s="524"/>
      <x:c r="O58" s="524"/>
    </x:row>
    <x:row r="59">
      <x:c r="A59" s="556" t="n"/>
      <x:c r="B59" s="557" t="n"/>
      <x:c r="C59" s="557" t="n"/>
      <x:c r="D59" s="557" t="n"/>
      <x:c r="E59" s="557" t="n"/>
      <x:c r="F59" s="562" t="n"/>
      <x:c r="G59" s="563" t="n"/>
      <x:c r="H59" s="564" t="str">
        <x:f>IF(OR(F59="",G59=""),"",F59*G59)</x:f>
      </x:c>
      <x:c r="I59" s="563" t="n"/>
      <x:c r="J59" s="557" t="n"/>
      <x:c r="K59" s="561" t="str">
        <x:f>IF(B59="","",IF(AND(B59="Phụ kiện khác",C59=""),"⚠ NHẬP TÊN PHỤ KIỆN",IF(C59="","⚠ NHẬP TÊN SẢN PHẨM","OK")))</x:f>
      </x:c>
      <x:c r="L59" s="627"/>
      <x:c r="M59" s="524"/>
      <x:c r="N59" s="524"/>
      <x:c r="O59" s="524"/>
    </x:row>
    <x:row r="60">
      <x:c r="A60" s="556" t="n"/>
      <x:c r="B60" s="557" t="n"/>
      <x:c r="C60" s="557" t="n"/>
      <x:c r="D60" s="557" t="n"/>
      <x:c r="E60" s="557" t="n"/>
      <x:c r="F60" s="562" t="n"/>
      <x:c r="G60" s="563" t="n"/>
      <x:c r="H60" s="564" t="str">
        <x:f>IF(OR(F60="",G60=""),"",F60*G60)</x:f>
      </x:c>
      <x:c r="I60" s="563" t="n"/>
      <x:c r="J60" s="557" t="n"/>
      <x:c r="K60" s="561" t="str">
        <x:f>IF(B60="","",IF(AND(B60="Phụ kiện khác",C60=""),"⚠ NHẬP TÊN PHỤ KIỆN",IF(C60="","⚠ NHẬP TÊN SẢN PHẨM","OK")))</x:f>
      </x:c>
      <x:c r="L60" s="627"/>
      <x:c r="M60" s="524"/>
      <x:c r="N60" s="524"/>
      <x:c r="O60" s="524"/>
    </x:row>
    <x:row r="61">
      <x:c r="A61" s="556" t="n"/>
      <x:c r="B61" s="557" t="n"/>
      <x:c r="C61" s="557" t="n"/>
      <x:c r="D61" s="557" t="n"/>
      <x:c r="E61" s="557" t="n"/>
      <x:c r="F61" s="562" t="n"/>
      <x:c r="G61" s="563" t="n"/>
      <x:c r="H61" s="564" t="str">
        <x:f>IF(OR(F61="",G61=""),"",F61*G61)</x:f>
      </x:c>
      <x:c r="I61" s="563" t="n"/>
      <x:c r="J61" s="557" t="n"/>
      <x:c r="K61" s="561" t="str">
        <x:f>IF(B61="","",IF(AND(B61="Phụ kiện khác",C61=""),"⚠ NHẬP TÊN PHỤ KIỆN",IF(C61="","⚠ NHẬP TÊN SẢN PHẨM","OK")))</x:f>
      </x:c>
      <x:c r="L61" s="627"/>
      <x:c r="M61" s="524"/>
      <x:c r="N61" s="524"/>
      <x:c r="O61" s="524"/>
    </x:row>
    <x:row r="62">
      <x:c r="A62" s="556" t="n"/>
      <x:c r="B62" s="557" t="n"/>
      <x:c r="C62" s="557" t="n"/>
      <x:c r="D62" s="557" t="n"/>
      <x:c r="E62" s="557" t="n"/>
      <x:c r="F62" s="562" t="n"/>
      <x:c r="G62" s="563" t="n"/>
      <x:c r="H62" s="564" t="str">
        <x:f>IF(OR(F62="",G62=""),"",F62*G62)</x:f>
      </x:c>
      <x:c r="I62" s="563" t="n"/>
      <x:c r="J62" s="557" t="n"/>
      <x:c r="K62" s="561" t="str">
        <x:f>IF(B62="","",IF(AND(B62="Phụ kiện khác",C62=""),"⚠ NHẬP TÊN PHỤ KIỆN",IF(C62="","⚠ NHẬP TÊN SẢN PHẨM","OK")))</x:f>
      </x:c>
      <x:c r="L62" s="627"/>
      <x:c r="M62" s="524"/>
      <x:c r="N62" s="524"/>
      <x:c r="O62" s="524"/>
    </x:row>
    <x:row r="63">
      <x:c r="A63" s="556" t="n"/>
      <x:c r="B63" s="557" t="n"/>
      <x:c r="C63" s="557" t="n"/>
      <x:c r="D63" s="557" t="n"/>
      <x:c r="E63" s="557" t="n"/>
      <x:c r="F63" s="562" t="n"/>
      <x:c r="G63" s="563" t="n"/>
      <x:c r="H63" s="564" t="str">
        <x:f>IF(OR(F63="",G63=""),"",F63*G63)</x:f>
      </x:c>
      <x:c r="I63" s="563" t="n"/>
      <x:c r="J63" s="557" t="n"/>
      <x:c r="K63" s="561" t="str">
        <x:f>IF(B63="","",IF(AND(B63="Phụ kiện khác",C63=""),"⚠ NHẬP TÊN PHỤ KIỆN",IF(C63="","⚠ NHẬP TÊN SẢN PHẨM","OK")))</x:f>
      </x:c>
      <x:c r="L63" s="627"/>
      <x:c r="M63" s="524"/>
      <x:c r="N63" s="524"/>
      <x:c r="O63" s="524"/>
    </x:row>
    <x:row r="64">
      <x:c r="A64" s="556" t="n"/>
      <x:c r="B64" s="557" t="n"/>
      <x:c r="C64" s="557" t="n"/>
      <x:c r="D64" s="557" t="n"/>
      <x:c r="E64" s="557" t="n"/>
      <x:c r="F64" s="562" t="n"/>
      <x:c r="G64" s="563" t="n"/>
      <x:c r="H64" s="564" t="str">
        <x:f>IF(OR(F64="",G64=""),"",F64*G64)</x:f>
      </x:c>
      <x:c r="I64" s="563" t="n"/>
      <x:c r="J64" s="557" t="n"/>
      <x:c r="K64" s="561" t="str">
        <x:f>IF(B64="","",IF(AND(B64="Phụ kiện khác",C64=""),"⚠ NHẬP TÊN PHỤ KIỆN",IF(C64="","⚠ NHẬP TÊN SẢN PHẨM","OK")))</x:f>
      </x:c>
      <x:c r="L64" s="627"/>
      <x:c r="M64" s="524"/>
      <x:c r="N64" s="524"/>
      <x:c r="O64" s="524"/>
    </x:row>
    <x:row r="65">
      <x:c r="A65" s="556" t="n"/>
      <x:c r="B65" s="557" t="n"/>
      <x:c r="C65" s="557" t="n"/>
      <x:c r="D65" s="557" t="n"/>
      <x:c r="E65" s="557" t="n"/>
      <x:c r="F65" s="562" t="n"/>
      <x:c r="G65" s="563" t="n"/>
      <x:c r="H65" s="564" t="str">
        <x:f>IF(OR(F65="",G65=""),"",F65*G65)</x:f>
      </x:c>
      <x:c r="I65" s="563" t="n"/>
      <x:c r="J65" s="557" t="n"/>
      <x:c r="K65" s="561" t="str">
        <x:f>IF(B65="","",IF(AND(B65="Phụ kiện khác",C65=""),"⚠ NHẬP TÊN PHỤ KIỆN",IF(C65="","⚠ NHẬP TÊN SẢN PHẨM","OK")))</x:f>
      </x:c>
      <x:c r="L65" s="627"/>
      <x:c r="M65" s="524"/>
      <x:c r="N65" s="524"/>
      <x:c r="O65" s="524"/>
    </x:row>
    <x:row r="66">
      <x:c r="A66" s="556" t="n"/>
      <x:c r="B66" s="557" t="n"/>
      <x:c r="C66" s="557" t="n"/>
      <x:c r="D66" s="557" t="n"/>
      <x:c r="E66" s="557" t="n"/>
      <x:c r="F66" s="562" t="n"/>
      <x:c r="G66" s="563" t="n"/>
      <x:c r="H66" s="564" t="str">
        <x:f>IF(OR(F66="",G66=""),"",F66*G66)</x:f>
      </x:c>
      <x:c r="I66" s="563" t="n"/>
      <x:c r="J66" s="557" t="n"/>
      <x:c r="K66" s="561" t="str">
        <x:f>IF(B66="","",IF(AND(B66="Phụ kiện khác",C66=""),"⚠ NHẬP TÊN PHỤ KIỆN",IF(C66="","⚠ NHẬP TÊN SẢN PHẨM","OK")))</x:f>
      </x:c>
      <x:c r="L66" s="627"/>
      <x:c r="M66" s="524"/>
      <x:c r="N66" s="524"/>
      <x:c r="O66" s="524"/>
    </x:row>
    <x:row r="67">
      <x:c r="A67" s="556" t="n"/>
      <x:c r="B67" s="557" t="n"/>
      <x:c r="C67" s="557" t="n"/>
      <x:c r="D67" s="557" t="n"/>
      <x:c r="E67" s="557" t="n"/>
      <x:c r="F67" s="562" t="n"/>
      <x:c r="G67" s="563" t="n"/>
      <x:c r="H67" s="564" t="str">
        <x:f>IF(OR(F67="",G67=""),"",F67*G67)</x:f>
      </x:c>
      <x:c r="I67" s="563" t="n"/>
      <x:c r="J67" s="557" t="n"/>
      <x:c r="K67" s="561" t="str">
        <x:f>IF(B67="","",IF(AND(B67="Phụ kiện khác",C67=""),"⚠ NHẬP TÊN PHỤ KIỆN",IF(C67="","⚠ NHẬP TÊN SẢN PHẨM","OK")))</x:f>
      </x:c>
      <x:c r="L67" s="627"/>
      <x:c r="M67" s="524"/>
      <x:c r="N67" s="524"/>
      <x:c r="O67" s="524"/>
    </x:row>
    <x:row r="68">
      <x:c r="A68" s="556" t="n"/>
      <x:c r="B68" s="557" t="n"/>
      <x:c r="C68" s="557" t="n"/>
      <x:c r="D68" s="557" t="n"/>
      <x:c r="E68" s="557" t="n"/>
      <x:c r="F68" s="562" t="n"/>
      <x:c r="G68" s="563" t="n"/>
      <x:c r="H68" s="564" t="str">
        <x:f>IF(OR(F68="",G68=""),"",F68*G68)</x:f>
      </x:c>
      <x:c r="I68" s="563" t="n"/>
      <x:c r="J68" s="557" t="n"/>
      <x:c r="K68" s="561" t="str">
        <x:f>IF(B68="","",IF(AND(B68="Phụ kiện khác",C68=""),"⚠ NHẬP TÊN PHỤ KIỆN",IF(C68="","⚠ NHẬP TÊN SẢN PHẨM","OK")))</x:f>
      </x:c>
      <x:c r="L68" s="627"/>
      <x:c r="M68" s="524"/>
      <x:c r="N68" s="524"/>
      <x:c r="O68" s="524"/>
    </x:row>
    <x:row r="69">
      <x:c r="A69" s="556" t="n"/>
      <x:c r="B69" s="557" t="n"/>
      <x:c r="C69" s="557" t="n"/>
      <x:c r="D69" s="557" t="n"/>
      <x:c r="E69" s="557" t="n"/>
      <x:c r="F69" s="562" t="n"/>
      <x:c r="G69" s="563" t="n"/>
      <x:c r="H69" s="564" t="str">
        <x:f>IF(OR(F69="",G69=""),"",F69*G69)</x:f>
      </x:c>
      <x:c r="I69" s="563" t="n"/>
      <x:c r="J69" s="557" t="n"/>
      <x:c r="K69" s="561" t="str">
        <x:f>IF(B69="","",IF(AND(B69="Phụ kiện khác",C69=""),"⚠ NHẬP TÊN PHỤ KIỆN",IF(C69="","⚠ NHẬP TÊN SẢN PHẨM","OK")))</x:f>
      </x:c>
      <x:c r="L69" s="627"/>
      <x:c r="M69" s="524"/>
      <x:c r="N69" s="524"/>
      <x:c r="O69" s="524"/>
    </x:row>
    <x:row r="70">
      <x:c r="A70" s="556" t="n"/>
      <x:c r="B70" s="557" t="n"/>
      <x:c r="C70" s="557" t="n"/>
      <x:c r="D70" s="557" t="n"/>
      <x:c r="E70" s="557" t="n"/>
      <x:c r="F70" s="562" t="n"/>
      <x:c r="G70" s="563" t="n"/>
      <x:c r="H70" s="564" t="str">
        <x:f>IF(OR(F70="",G70=""),"",F70*G70)</x:f>
      </x:c>
      <x:c r="I70" s="563" t="n"/>
      <x:c r="J70" s="557" t="n"/>
      <x:c r="K70" s="561" t="str">
        <x:f>IF(B70="","",IF(AND(B70="Phụ kiện khác",C70=""),"⚠ NHẬP TÊN PHỤ KIỆN",IF(C70="","⚠ NHẬP TÊN SẢN PHẨM","OK")))</x:f>
      </x:c>
      <x:c r="L70" s="627"/>
      <x:c r="M70" s="524"/>
      <x:c r="N70" s="524"/>
      <x:c r="O70" s="524"/>
    </x:row>
    <x:row r="71">
      <x:c r="A71" s="556" t="n"/>
      <x:c r="B71" s="557" t="n"/>
      <x:c r="C71" s="557" t="n"/>
      <x:c r="D71" s="557" t="n"/>
      <x:c r="E71" s="557" t="n"/>
      <x:c r="F71" s="562" t="n"/>
      <x:c r="G71" s="563" t="n"/>
      <x:c r="H71" s="564" t="str">
        <x:f>IF(OR(F71="",G71=""),"",F71*G71)</x:f>
      </x:c>
      <x:c r="I71" s="563" t="n"/>
      <x:c r="J71" s="557" t="n"/>
      <x:c r="K71" s="561" t="str">
        <x:f>IF(B71="","",IF(AND(B71="Phụ kiện khác",C71=""),"⚠ NHẬP TÊN PHỤ KIỆN",IF(C71="","⚠ NHẬP TÊN SẢN PHẨM","OK")))</x:f>
      </x:c>
      <x:c r="L71" s="627"/>
      <x:c r="M71" s="524"/>
      <x:c r="N71" s="524"/>
      <x:c r="O71" s="524"/>
    </x:row>
    <x:row r="72">
      <x:c r="A72" s="556" t="n"/>
      <x:c r="B72" s="557" t="n"/>
      <x:c r="C72" s="557" t="n"/>
      <x:c r="D72" s="557" t="n"/>
      <x:c r="E72" s="557" t="n"/>
      <x:c r="F72" s="562" t="n"/>
      <x:c r="G72" s="563" t="n"/>
      <x:c r="H72" s="564" t="str">
        <x:f>IF(OR(F72="",G72=""),"",F72*G72)</x:f>
      </x:c>
      <x:c r="I72" s="563" t="n"/>
      <x:c r="J72" s="557" t="n"/>
      <x:c r="K72" s="561" t="str">
        <x:f>IF(B72="","",IF(AND(B72="Phụ kiện khác",C72=""),"⚠ NHẬP TÊN PHỤ KIỆN",IF(C72="","⚠ NHẬP TÊN SẢN PHẨM","OK")))</x:f>
      </x:c>
      <x:c r="L72" s="627"/>
      <x:c r="M72" s="524"/>
      <x:c r="N72" s="524"/>
      <x:c r="O72" s="524"/>
    </x:row>
    <x:row r="73">
      <x:c r="A73" s="556" t="n"/>
      <x:c r="B73" s="557" t="n"/>
      <x:c r="C73" s="557" t="n"/>
      <x:c r="D73" s="557" t="n"/>
      <x:c r="E73" s="557" t="n"/>
      <x:c r="F73" s="562" t="n"/>
      <x:c r="G73" s="563" t="n"/>
      <x:c r="H73" s="564" t="str">
        <x:f>IF(OR(F73="",G73=""),"",F73*G73)</x:f>
      </x:c>
      <x:c r="I73" s="563" t="n"/>
      <x:c r="J73" s="557" t="n"/>
      <x:c r="K73" s="561" t="str">
        <x:f>IF(B73="","",IF(AND(B73="Phụ kiện khác",C73=""),"⚠ NHẬP TÊN PHỤ KIỆN",IF(C73="","⚠ NHẬP TÊN SẢN PHẨM","OK")))</x:f>
      </x:c>
      <x:c r="L73" s="627"/>
      <x:c r="M73" s="524"/>
      <x:c r="N73" s="524"/>
      <x:c r="O73" s="524"/>
    </x:row>
    <x:row r="74">
      <x:c r="A74" s="556" t="n"/>
      <x:c r="B74" s="557" t="n"/>
      <x:c r="C74" s="557" t="n"/>
      <x:c r="D74" s="557" t="n"/>
      <x:c r="E74" s="557" t="n"/>
      <x:c r="F74" s="562" t="n"/>
      <x:c r="G74" s="563" t="n"/>
      <x:c r="H74" s="564" t="str">
        <x:f>IF(OR(F74="",G74=""),"",F74*G74)</x:f>
      </x:c>
      <x:c r="I74" s="563" t="n"/>
      <x:c r="J74" s="557" t="n"/>
      <x:c r="K74" s="561" t="str">
        <x:f>IF(B74="","",IF(AND(B74="Phụ kiện khác",C74=""),"⚠ NHẬP TÊN PHỤ KIỆN",IF(C74="","⚠ NHẬP TÊN SẢN PHẨM","OK")))</x:f>
      </x:c>
      <x:c r="L74" s="627"/>
      <x:c r="M74" s="524"/>
      <x:c r="N74" s="524"/>
      <x:c r="O74" s="524"/>
    </x:row>
    <x:row r="75">
      <x:c r="A75" s="556" t="n"/>
      <x:c r="B75" s="557" t="n"/>
      <x:c r="C75" s="557" t="n"/>
      <x:c r="D75" s="557" t="n"/>
      <x:c r="E75" s="557" t="n"/>
      <x:c r="F75" s="562" t="n"/>
      <x:c r="G75" s="563" t="n"/>
      <x:c r="H75" s="564" t="str">
        <x:f>IF(OR(F75="",G75=""),"",F75*G75)</x:f>
      </x:c>
      <x:c r="I75" s="563" t="n"/>
      <x:c r="J75" s="557" t="n"/>
      <x:c r="K75" s="561" t="str">
        <x:f>IF(B75="","",IF(AND(B75="Phụ kiện khác",C75=""),"⚠ NHẬP TÊN PHỤ KIỆN",IF(C75="","⚠ NHẬP TÊN SẢN PHẨM","OK")))</x:f>
      </x:c>
      <x:c r="L75" s="627"/>
      <x:c r="M75" s="524"/>
      <x:c r="N75" s="524"/>
      <x:c r="O75" s="524"/>
    </x:row>
    <x:row r="76">
      <x:c r="A76" s="556" t="n"/>
      <x:c r="B76" s="557" t="n"/>
      <x:c r="C76" s="557" t="n"/>
      <x:c r="D76" s="557" t="n"/>
      <x:c r="E76" s="557" t="n"/>
      <x:c r="F76" s="562" t="n"/>
      <x:c r="G76" s="563" t="n"/>
      <x:c r="H76" s="564" t="str">
        <x:f>IF(OR(F76="",G76=""),"",F76*G76)</x:f>
      </x:c>
      <x:c r="I76" s="563" t="n"/>
      <x:c r="J76" s="557" t="n"/>
      <x:c r="K76" s="561" t="str">
        <x:f>IF(B76="","",IF(AND(B76="Phụ kiện khác",C76=""),"⚠ NHẬP TÊN PHỤ KIỆN",IF(C76="","⚠ NHẬP TÊN SẢN PHẨM","OK")))</x:f>
      </x:c>
      <x:c r="L76" s="627"/>
      <x:c r="M76" s="524"/>
      <x:c r="N76" s="524"/>
      <x:c r="O76" s="524"/>
    </x:row>
    <x:row r="77">
      <x:c r="A77" s="556" t="n"/>
      <x:c r="B77" s="557" t="n"/>
      <x:c r="C77" s="557" t="n"/>
      <x:c r="D77" s="557" t="n"/>
      <x:c r="E77" s="557" t="n"/>
      <x:c r="F77" s="562" t="n"/>
      <x:c r="G77" s="563" t="n"/>
      <x:c r="H77" s="564" t="str">
        <x:f>IF(OR(F77="",G77=""),"",F77*G77)</x:f>
      </x:c>
      <x:c r="I77" s="563" t="n"/>
      <x:c r="J77" s="557" t="n"/>
      <x:c r="K77" s="561" t="str">
        <x:f>IF(B77="","",IF(AND(B77="Phụ kiện khác",C77=""),"⚠ NHẬP TÊN PHỤ KIỆN",IF(C77="","⚠ NHẬP TÊN SẢN PHẨM","OK")))</x:f>
      </x:c>
      <x:c r="L77" s="627"/>
      <x:c r="M77" s="524"/>
      <x:c r="N77" s="524"/>
      <x:c r="O77" s="524"/>
    </x:row>
    <x:row r="78">
      <x:c r="A78" s="556" t="n"/>
      <x:c r="B78" s="557" t="n"/>
      <x:c r="C78" s="557" t="n"/>
      <x:c r="D78" s="557" t="n"/>
      <x:c r="E78" s="557" t="n"/>
      <x:c r="F78" s="562" t="n"/>
      <x:c r="G78" s="563" t="n"/>
      <x:c r="H78" s="564" t="str">
        <x:f>IF(OR(F78="",G78=""),"",F78*G78)</x:f>
      </x:c>
      <x:c r="I78" s="563" t="n"/>
      <x:c r="J78" s="557" t="n"/>
      <x:c r="K78" s="561" t="str">
        <x:f>IF(B78="","",IF(AND(B78="Phụ kiện khác",C78=""),"⚠ NHẬP TÊN PHỤ KIỆN",IF(C78="","⚠ NHẬP TÊN SẢN PHẨM","OK")))</x:f>
      </x:c>
      <x:c r="L78" s="627"/>
      <x:c r="M78" s="524"/>
      <x:c r="N78" s="524"/>
      <x:c r="O78" s="524"/>
    </x:row>
    <x:row r="79">
      <x:c r="A79" s="556" t="n"/>
      <x:c r="B79" s="557" t="n"/>
      <x:c r="C79" s="557" t="n"/>
      <x:c r="D79" s="557" t="n"/>
      <x:c r="E79" s="557" t="n"/>
      <x:c r="F79" s="562" t="n"/>
      <x:c r="G79" s="563" t="n"/>
      <x:c r="H79" s="564" t="str">
        <x:f>IF(OR(F79="",G79=""),"",F79*G79)</x:f>
      </x:c>
      <x:c r="I79" s="563" t="n"/>
      <x:c r="J79" s="557" t="n"/>
      <x:c r="K79" s="561" t="str">
        <x:f>IF(B79="","",IF(AND(B79="Phụ kiện khác",C79=""),"⚠ NHẬP TÊN PHỤ KIỆN",IF(C79="","⚠ NHẬP TÊN SẢN PHẨM","OK")))</x:f>
      </x:c>
      <x:c r="L79" s="627"/>
      <x:c r="M79" s="524"/>
      <x:c r="N79" s="524"/>
      <x:c r="O79" s="524"/>
    </x:row>
    <x:row r="80">
      <x:c r="A80" s="556" t="n"/>
      <x:c r="B80" s="557" t="n"/>
      <x:c r="C80" s="557" t="n"/>
      <x:c r="D80" s="557" t="n"/>
      <x:c r="E80" s="557" t="n"/>
      <x:c r="F80" s="562" t="n"/>
      <x:c r="G80" s="563" t="n"/>
      <x:c r="H80" s="564" t="str">
        <x:f>IF(OR(F80="",G80=""),"",F80*G80)</x:f>
      </x:c>
      <x:c r="I80" s="563" t="n"/>
      <x:c r="J80" s="557" t="n"/>
      <x:c r="K80" s="561" t="str">
        <x:f>IF(B80="","",IF(AND(B80="Phụ kiện khác",C80=""),"⚠ NHẬP TÊN PHỤ KIỆN",IF(C80="","⚠ NHẬP TÊN SẢN PHẨM","OK")))</x:f>
      </x:c>
      <x:c r="L80" s="627"/>
      <x:c r="M80" s="524"/>
      <x:c r="N80" s="524"/>
      <x:c r="O80" s="524"/>
    </x:row>
    <x:row r="81">
      <x:c r="A81" s="556" t="n"/>
      <x:c r="B81" s="557" t="n"/>
      <x:c r="C81" s="557" t="n"/>
      <x:c r="D81" s="557" t="n"/>
      <x:c r="E81" s="557" t="n"/>
      <x:c r="F81" s="562" t="n"/>
      <x:c r="G81" s="563" t="n"/>
      <x:c r="H81" s="564" t="str">
        <x:f>IF(OR(F81="",G81=""),"",F81*G81)</x:f>
      </x:c>
      <x:c r="I81" s="563" t="n"/>
      <x:c r="J81" s="557" t="n"/>
      <x:c r="K81" s="561" t="str">
        <x:f>IF(B81="","",IF(AND(B81="Phụ kiện khác",C81=""),"⚠ NHẬP TÊN PHỤ KIỆN",IF(C81="","⚠ NHẬP TÊN SẢN PHẨM","OK")))</x:f>
      </x:c>
      <x:c r="L81" s="627"/>
      <x:c r="M81" s="524"/>
      <x:c r="N81" s="524"/>
      <x:c r="O81" s="524"/>
    </x:row>
    <x:row r="82">
      <x:c r="A82" s="556" t="n"/>
      <x:c r="B82" s="557" t="n"/>
      <x:c r="C82" s="557" t="n"/>
      <x:c r="D82" s="557" t="n"/>
      <x:c r="E82" s="557" t="n"/>
      <x:c r="F82" s="562" t="n"/>
      <x:c r="G82" s="563" t="n"/>
      <x:c r="H82" s="564" t="str">
        <x:f>IF(OR(F82="",G82=""),"",F82*G82)</x:f>
      </x:c>
      <x:c r="I82" s="563" t="n"/>
      <x:c r="J82" s="557" t="n"/>
      <x:c r="K82" s="561" t="str">
        <x:f>IF(B82="","",IF(AND(B82="Phụ kiện khác",C82=""),"⚠ NHẬP TÊN PHỤ KIỆN",IF(C82="","⚠ NHẬP TÊN SẢN PHẨM","OK")))</x:f>
      </x:c>
      <x:c r="L82" s="627"/>
      <x:c r="M82" s="524"/>
      <x:c r="N82" s="524"/>
      <x:c r="O82" s="524"/>
    </x:row>
    <x:row r="83">
      <x:c r="A83" s="556" t="n"/>
      <x:c r="B83" s="557" t="n"/>
      <x:c r="C83" s="557" t="n"/>
      <x:c r="D83" s="557" t="n"/>
      <x:c r="E83" s="557" t="n"/>
      <x:c r="F83" s="562" t="n"/>
      <x:c r="G83" s="563" t="n"/>
      <x:c r="H83" s="564" t="str">
        <x:f>IF(OR(F83="",G83=""),"",F83*G83)</x:f>
      </x:c>
      <x:c r="I83" s="563" t="n"/>
      <x:c r="J83" s="557" t="n"/>
      <x:c r="K83" s="561" t="str">
        <x:f>IF(B83="","",IF(AND(B83="Phụ kiện khác",C83=""),"⚠ NHẬP TÊN PHỤ KIỆN",IF(C83="","⚠ NHẬP TÊN SẢN PHẨM","OK")))</x:f>
      </x:c>
      <x:c r="L83" s="627"/>
      <x:c r="M83" s="524"/>
      <x:c r="N83" s="524"/>
      <x:c r="O83" s="524"/>
    </x:row>
    <x:row r="84">
      <x:c r="A84" s="556" t="n"/>
      <x:c r="B84" s="557" t="n"/>
      <x:c r="C84" s="557" t="n"/>
      <x:c r="D84" s="557" t="n"/>
      <x:c r="E84" s="557" t="n"/>
      <x:c r="F84" s="562" t="n"/>
      <x:c r="G84" s="563" t="n"/>
      <x:c r="H84" s="564" t="str">
        <x:f>IF(OR(F84="",G84=""),"",F84*G84)</x:f>
      </x:c>
      <x:c r="I84" s="563" t="n"/>
      <x:c r="J84" s="557" t="n"/>
      <x:c r="K84" s="561" t="str">
        <x:f>IF(B84="","",IF(AND(B84="Phụ kiện khác",C84=""),"⚠ NHẬP TÊN PHỤ KIỆN",IF(C84="","⚠ NHẬP TÊN SẢN PHẨM","OK")))</x:f>
      </x:c>
      <x:c r="L84" s="627"/>
      <x:c r="M84" s="524"/>
      <x:c r="N84" s="524"/>
      <x:c r="O84" s="524"/>
    </x:row>
    <x:row r="85">
      <x:c r="A85" s="556" t="n"/>
      <x:c r="B85" s="557" t="n"/>
      <x:c r="C85" s="557" t="n"/>
      <x:c r="D85" s="557" t="n"/>
      <x:c r="E85" s="557" t="n"/>
      <x:c r="F85" s="562" t="n"/>
      <x:c r="G85" s="563" t="n"/>
      <x:c r="H85" s="564" t="str">
        <x:f>IF(OR(F85="",G85=""),"",F85*G85)</x:f>
      </x:c>
      <x:c r="I85" s="563" t="n"/>
      <x:c r="J85" s="557" t="n"/>
      <x:c r="K85" s="561" t="str">
        <x:f>IF(B85="","",IF(AND(B85="Phụ kiện khác",C85=""),"⚠ NHẬP TÊN PHỤ KIỆN",IF(C85="","⚠ NHẬP TÊN SẢN PHẨM","OK")))</x:f>
      </x:c>
      <x:c r="L85" s="627"/>
      <x:c r="M85" s="524"/>
      <x:c r="N85" s="524"/>
      <x:c r="O85" s="524"/>
    </x:row>
    <x:row r="86">
      <x:c r="A86" s="556" t="n"/>
      <x:c r="B86" s="557" t="n"/>
      <x:c r="C86" s="557" t="n"/>
      <x:c r="D86" s="557" t="n"/>
      <x:c r="E86" s="557" t="n"/>
      <x:c r="F86" s="562" t="n"/>
      <x:c r="G86" s="563" t="n"/>
      <x:c r="H86" s="564" t="str">
        <x:f>IF(OR(F86="",G86=""),"",F86*G86)</x:f>
      </x:c>
      <x:c r="I86" s="563" t="n"/>
      <x:c r="J86" s="557" t="n"/>
      <x:c r="K86" s="561" t="str">
        <x:f>IF(B86="","",IF(AND(B86="Phụ kiện khác",C86=""),"⚠ NHẬP TÊN PHỤ KIỆN",IF(C86="","⚠ NHẬP TÊN SẢN PHẨM","OK")))</x:f>
      </x:c>
      <x:c r="L86" s="627"/>
      <x:c r="M86" s="524"/>
      <x:c r="N86" s="524"/>
      <x:c r="O86" s="524"/>
    </x:row>
    <x:row r="87">
      <x:c r="A87" s="556" t="n"/>
      <x:c r="B87" s="557" t="n"/>
      <x:c r="C87" s="557" t="n"/>
      <x:c r="D87" s="557" t="n"/>
      <x:c r="E87" s="557" t="n"/>
      <x:c r="F87" s="562" t="n"/>
      <x:c r="G87" s="563" t="n"/>
      <x:c r="H87" s="564" t="str">
        <x:f>IF(OR(F87="",G87=""),"",F87*G87)</x:f>
      </x:c>
      <x:c r="I87" s="563" t="n"/>
      <x:c r="J87" s="557" t="n"/>
      <x:c r="K87" s="561" t="str">
        <x:f>IF(B87="","",IF(AND(B87="Phụ kiện khác",C87=""),"⚠ NHẬP TÊN PHỤ KIỆN",IF(C87="","⚠ NHẬP TÊN SẢN PHẨM","OK")))</x:f>
      </x:c>
      <x:c r="L87" s="627"/>
      <x:c r="M87" s="524"/>
      <x:c r="N87" s="524"/>
      <x:c r="O87" s="524"/>
    </x:row>
    <x:row r="88">
      <x:c r="A88" s="556" t="n"/>
      <x:c r="B88" s="557" t="n"/>
      <x:c r="C88" s="557" t="n"/>
      <x:c r="D88" s="557" t="n"/>
      <x:c r="E88" s="557" t="n"/>
      <x:c r="F88" s="562" t="n"/>
      <x:c r="G88" s="563" t="n"/>
      <x:c r="H88" s="564" t="str">
        <x:f>IF(OR(F88="",G88=""),"",F88*G88)</x:f>
      </x:c>
      <x:c r="I88" s="563" t="n"/>
      <x:c r="J88" s="557" t="n"/>
      <x:c r="K88" s="561" t="str">
        <x:f>IF(B88="","",IF(AND(B88="Phụ kiện khác",C88=""),"⚠ NHẬP TÊN PHỤ KIỆN",IF(C88="","⚠ NHẬP TÊN SẢN PHẨM","OK")))</x:f>
      </x:c>
      <x:c r="L88" s="627"/>
      <x:c r="M88" s="524"/>
      <x:c r="N88" s="524"/>
      <x:c r="O88" s="524"/>
    </x:row>
    <x:row r="89">
      <x:c r="A89" s="556" t="n"/>
      <x:c r="B89" s="557" t="n"/>
      <x:c r="C89" s="557" t="n"/>
      <x:c r="D89" s="557" t="n"/>
      <x:c r="E89" s="557" t="n"/>
      <x:c r="F89" s="562" t="n"/>
      <x:c r="G89" s="563" t="n"/>
      <x:c r="H89" s="564" t="str">
        <x:f>IF(OR(F89="",G89=""),"",F89*G89)</x:f>
      </x:c>
      <x:c r="I89" s="563" t="n"/>
      <x:c r="J89" s="557" t="n"/>
      <x:c r="K89" s="561" t="str">
        <x:f>IF(B89="","",IF(AND(B89="Phụ kiện khác",C89=""),"⚠ NHẬP TÊN PHỤ KIỆN",IF(C89="","⚠ NHẬP TÊN SẢN PHẨM","OK")))</x:f>
      </x:c>
      <x:c r="L89" s="627"/>
      <x:c r="M89" s="524"/>
      <x:c r="N89" s="524"/>
      <x:c r="O89" s="524"/>
    </x:row>
    <x:row r="90">
      <x:c r="A90" s="556" t="n"/>
      <x:c r="B90" s="557" t="n"/>
      <x:c r="C90" s="557" t="n"/>
      <x:c r="D90" s="557" t="n"/>
      <x:c r="E90" s="557" t="n"/>
      <x:c r="F90" s="562" t="n"/>
      <x:c r="G90" s="563" t="n"/>
      <x:c r="H90" s="564" t="str">
        <x:f>IF(OR(F90="",G90=""),"",F90*G90)</x:f>
      </x:c>
      <x:c r="I90" s="563" t="n"/>
      <x:c r="J90" s="557" t="n"/>
      <x:c r="K90" s="561" t="str">
        <x:f>IF(B90="","",IF(AND(B90="Phụ kiện khác",C90=""),"⚠ NHẬP TÊN PHỤ KIỆN",IF(C90="","⚠ NHẬP TÊN SẢN PHẨM","OK")))</x:f>
      </x:c>
      <x:c r="L90" s="627"/>
      <x:c r="M90" s="524"/>
      <x:c r="N90" s="524"/>
      <x:c r="O90" s="524"/>
    </x:row>
    <x:row r="91">
      <x:c r="A91" s="556" t="n"/>
      <x:c r="B91" s="557" t="n"/>
      <x:c r="C91" s="557" t="n"/>
      <x:c r="D91" s="557" t="n"/>
      <x:c r="E91" s="557" t="n"/>
      <x:c r="F91" s="562" t="n"/>
      <x:c r="G91" s="563" t="n"/>
      <x:c r="H91" s="564" t="str">
        <x:f>IF(OR(F91="",G91=""),"",F91*G91)</x:f>
      </x:c>
      <x:c r="I91" s="563" t="n"/>
      <x:c r="J91" s="557" t="n"/>
      <x:c r="K91" s="561" t="str">
        <x:f>IF(B91="","",IF(AND(B91="Phụ kiện khác",C91=""),"⚠ NHẬP TÊN PHỤ KIỆN",IF(C91="","⚠ NHẬP TÊN SẢN PHẨM","OK")))</x:f>
      </x:c>
      <x:c r="L91" s="627"/>
      <x:c r="M91" s="524"/>
      <x:c r="N91" s="524"/>
      <x:c r="O91" s="524"/>
    </x:row>
    <x:row r="92">
      <x:c r="A92" s="556" t="n"/>
      <x:c r="B92" s="557" t="n"/>
      <x:c r="C92" s="557" t="n"/>
      <x:c r="D92" s="557" t="n"/>
      <x:c r="E92" s="557" t="n"/>
      <x:c r="F92" s="562" t="n"/>
      <x:c r="G92" s="563" t="n"/>
      <x:c r="H92" s="564" t="str">
        <x:f>IF(OR(F92="",G92=""),"",F92*G92)</x:f>
      </x:c>
      <x:c r="I92" s="563" t="n"/>
      <x:c r="J92" s="557" t="n"/>
      <x:c r="K92" s="561" t="str">
        <x:f>IF(B92="","",IF(AND(B92="Phụ kiện khác",C92=""),"⚠ NHẬP TÊN PHỤ KIỆN",IF(C92="","⚠ NHẬP TÊN SẢN PHẨM","OK")))</x:f>
      </x:c>
      <x:c r="L92" s="627"/>
      <x:c r="M92" s="524"/>
      <x:c r="N92" s="524"/>
      <x:c r="O92" s="524"/>
    </x:row>
    <x:row r="93">
      <x:c r="A93" s="556" t="n"/>
      <x:c r="B93" s="557" t="n"/>
      <x:c r="C93" s="557" t="n"/>
      <x:c r="D93" s="557" t="n"/>
      <x:c r="E93" s="557" t="n"/>
      <x:c r="F93" s="562" t="n"/>
      <x:c r="G93" s="563" t="n"/>
      <x:c r="H93" s="564" t="str">
        <x:f>IF(OR(F93="",G93=""),"",F93*G93)</x:f>
      </x:c>
      <x:c r="I93" s="563" t="n"/>
      <x:c r="J93" s="557" t="n"/>
      <x:c r="K93" s="561" t="str">
        <x:f>IF(B93="","",IF(AND(B93="Phụ kiện khác",C93=""),"⚠ NHẬP TÊN PHỤ KIỆN",IF(C93="","⚠ NHẬP TÊN SẢN PHẨM","OK")))</x:f>
      </x:c>
      <x:c r="L93" s="627"/>
      <x:c r="M93" s="524"/>
      <x:c r="N93" s="524"/>
      <x:c r="O93" s="524"/>
    </x:row>
    <x:row r="94">
      <x:c r="A94" s="556" t="n"/>
      <x:c r="B94" s="557" t="n"/>
      <x:c r="C94" s="557" t="n"/>
      <x:c r="D94" s="557" t="n"/>
      <x:c r="E94" s="557" t="n"/>
      <x:c r="F94" s="562" t="n"/>
      <x:c r="G94" s="563" t="n"/>
      <x:c r="H94" s="564" t="str">
        <x:f>IF(OR(F94="",G94=""),"",F94*G94)</x:f>
      </x:c>
      <x:c r="I94" s="563" t="n"/>
      <x:c r="J94" s="557" t="n"/>
      <x:c r="K94" s="561" t="str">
        <x:f>IF(B94="","",IF(AND(B94="Phụ kiện khác",C94=""),"⚠ NHẬP TÊN PHỤ KIỆN",IF(C94="","⚠ NHẬP TÊN SẢN PHẨM","OK")))</x:f>
      </x:c>
      <x:c r="L94" s="627"/>
      <x:c r="M94" s="524"/>
      <x:c r="N94" s="524"/>
      <x:c r="O94" s="524"/>
    </x:row>
    <x:row r="95">
      <x:c r="A95" s="556" t="n"/>
      <x:c r="B95" s="557" t="n"/>
      <x:c r="C95" s="557" t="n"/>
      <x:c r="D95" s="557" t="n"/>
      <x:c r="E95" s="557" t="n"/>
      <x:c r="F95" s="562" t="n"/>
      <x:c r="G95" s="563" t="n"/>
      <x:c r="H95" s="564" t="str">
        <x:f>IF(OR(F95="",G95=""),"",F95*G95)</x:f>
      </x:c>
      <x:c r="I95" s="563" t="n"/>
      <x:c r="J95" s="557" t="n"/>
      <x:c r="K95" s="561" t="str">
        <x:f>IF(B95="","",IF(AND(B95="Phụ kiện khác",C95=""),"⚠ NHẬP TÊN PHỤ KIỆN",IF(C95="","⚠ NHẬP TÊN SẢN PHẨM","OK")))</x:f>
      </x:c>
      <x:c r="L95" s="627"/>
      <x:c r="M95" s="524"/>
      <x:c r="N95" s="524"/>
      <x:c r="O95" s="524"/>
    </x:row>
    <x:row r="96">
      <x:c r="A96" s="556" t="n"/>
      <x:c r="B96" s="557" t="n"/>
      <x:c r="C96" s="557" t="n"/>
      <x:c r="D96" s="557" t="n"/>
      <x:c r="E96" s="557" t="n"/>
      <x:c r="F96" s="562" t="n"/>
      <x:c r="G96" s="563" t="n"/>
      <x:c r="H96" s="564" t="str">
        <x:f>IF(OR(F96="",G96=""),"",F96*G96)</x:f>
      </x:c>
      <x:c r="I96" s="563" t="n"/>
      <x:c r="J96" s="557" t="n"/>
      <x:c r="K96" s="561" t="str">
        <x:f>IF(B96="","",IF(AND(B96="Phụ kiện khác",C96=""),"⚠ NHẬP TÊN PHỤ KIỆN",IF(C96="","⚠ NHẬP TÊN SẢN PHẨM","OK")))</x:f>
      </x:c>
      <x:c r="L96" s="627"/>
      <x:c r="M96" s="524"/>
      <x:c r="N96" s="524"/>
      <x:c r="O96" s="524"/>
    </x:row>
    <x:row r="97">
      <x:c r="A97" s="556" t="n"/>
      <x:c r="B97" s="557" t="n"/>
      <x:c r="C97" s="557" t="n"/>
      <x:c r="D97" s="557" t="n"/>
      <x:c r="E97" s="557" t="n"/>
      <x:c r="F97" s="562" t="n"/>
      <x:c r="G97" s="563" t="n"/>
      <x:c r="H97" s="564" t="str">
        <x:f>IF(OR(F97="",G97=""),"",F97*G97)</x:f>
      </x:c>
      <x:c r="I97" s="563" t="n"/>
      <x:c r="J97" s="557" t="n"/>
      <x:c r="K97" s="561" t="str">
        <x:f>IF(B97="","",IF(AND(B97="Phụ kiện khác",C97=""),"⚠ NHẬP TÊN PHỤ KIỆN",IF(C97="","⚠ NHẬP TÊN SẢN PHẨM","OK")))</x:f>
      </x:c>
      <x:c r="L97" s="627"/>
      <x:c r="M97" s="524"/>
      <x:c r="N97" s="524"/>
      <x:c r="O97" s="524"/>
    </x:row>
    <x:row r="98">
      <x:c r="A98" s="556" t="n"/>
      <x:c r="B98" s="557" t="n"/>
      <x:c r="C98" s="557" t="n"/>
      <x:c r="D98" s="557" t="n"/>
      <x:c r="E98" s="557" t="n"/>
      <x:c r="F98" s="562" t="n"/>
      <x:c r="G98" s="563" t="n"/>
      <x:c r="H98" s="564" t="str">
        <x:f>IF(OR(F98="",G98=""),"",F98*G98)</x:f>
      </x:c>
      <x:c r="I98" s="563" t="n"/>
      <x:c r="J98" s="557" t="n"/>
      <x:c r="K98" s="561" t="str">
        <x:f>IF(B98="","",IF(AND(B98="Phụ kiện khác",C98=""),"⚠ NHẬP TÊN PHỤ KIỆN",IF(C98="","⚠ NHẬP TÊN SẢN PHẨM","OK")))</x:f>
      </x:c>
      <x:c r="L98" s="627"/>
      <x:c r="M98" s="524"/>
      <x:c r="N98" s="524"/>
      <x:c r="O98" s="524"/>
    </x:row>
    <x:row r="99">
      <x:c r="A99" s="556" t="n"/>
      <x:c r="B99" s="557" t="n"/>
      <x:c r="C99" s="557" t="n"/>
      <x:c r="D99" s="557" t="n"/>
      <x:c r="E99" s="557" t="n"/>
      <x:c r="F99" s="562" t="n"/>
      <x:c r="G99" s="563" t="n"/>
      <x:c r="H99" s="564" t="str">
        <x:f>IF(OR(F99="",G99=""),"",F99*G99)</x:f>
      </x:c>
      <x:c r="I99" s="563" t="n"/>
      <x:c r="J99" s="557" t="n"/>
      <x:c r="K99" s="561" t="str">
        <x:f>IF(B99="","",IF(AND(B99="Phụ kiện khác",C99=""),"⚠ NHẬP TÊN PHỤ KIỆN",IF(C99="","⚠ NHẬP TÊN SẢN PHẨM","OK")))</x:f>
      </x:c>
      <x:c r="L99" s="627"/>
      <x:c r="M99" s="524"/>
      <x:c r="N99" s="524"/>
      <x:c r="O99" s="524"/>
    </x:row>
    <x:row r="100">
      <x:c r="A100" s="556" t="n"/>
      <x:c r="B100" s="557" t="n"/>
      <x:c r="C100" s="557" t="n"/>
      <x:c r="D100" s="557" t="n"/>
      <x:c r="E100" s="557" t="n"/>
      <x:c r="F100" s="562" t="n"/>
      <x:c r="G100" s="563" t="n"/>
      <x:c r="H100" s="564" t="str">
        <x:f>IF(OR(F100="",G100=""),"",F100*G100)</x:f>
      </x:c>
      <x:c r="I100" s="563" t="n"/>
      <x:c r="J100" s="557" t="n"/>
      <x:c r="K100" s="561" t="str">
        <x:f>IF(B100="","",IF(AND(B100="Phụ kiện khác",C100=""),"⚠ NHẬP TÊN PHỤ KIỆN",IF(C100="","⚠ NHẬP TÊN SẢN PHẨM","OK")))</x:f>
      </x:c>
      <x:c r="L100" s="627"/>
      <x:c r="M100" s="524"/>
      <x:c r="N100" s="524"/>
      <x:c r="O100" s="524"/>
    </x:row>
    <x:row r="101">
      <x:c r="A101" s="556" t="n"/>
      <x:c r="B101" s="557" t="n"/>
      <x:c r="C101" s="557" t="n"/>
      <x:c r="D101" s="557" t="n"/>
      <x:c r="E101" s="557" t="n"/>
      <x:c r="F101" s="562" t="n"/>
      <x:c r="G101" s="563" t="n"/>
      <x:c r="H101" s="564" t="str">
        <x:f>IF(OR(F101="",G101=""),"",F101*G101)</x:f>
      </x:c>
      <x:c r="I101" s="563" t="n"/>
      <x:c r="J101" s="557" t="n"/>
      <x:c r="K101" s="561" t="str">
        <x:f>IF(B101="","",IF(AND(B101="Phụ kiện khác",C101=""),"⚠ NHẬP TÊN PHỤ KIỆN",IF(C101="","⚠ NHẬP TÊN SẢN PHẨM","OK")))</x:f>
      </x:c>
      <x:c r="L101" s="627"/>
      <x:c r="M101" s="524"/>
      <x:c r="N101" s="524"/>
      <x:c r="O101" s="524"/>
    </x:row>
    <x:row r="102">
      <x:c r="A102" s="556" t="n"/>
      <x:c r="B102" s="557" t="n"/>
      <x:c r="C102" s="557" t="n"/>
      <x:c r="D102" s="557" t="n"/>
      <x:c r="E102" s="557" t="n"/>
      <x:c r="F102" s="562" t="n"/>
      <x:c r="G102" s="563" t="n"/>
      <x:c r="H102" s="564" t="str">
        <x:f>IF(OR(F102="",G102=""),"",F102*G102)</x:f>
      </x:c>
      <x:c r="I102" s="563" t="n"/>
      <x:c r="J102" s="557" t="n"/>
      <x:c r="K102" s="561" t="str">
        <x:f>IF(B102="","",IF(AND(B102="Phụ kiện khác",C102=""),"⚠ NHẬP TÊN PHỤ KIỆN",IF(C102="","⚠ NHẬP TÊN SẢN PHẨM","OK")))</x:f>
      </x:c>
      <x:c r="L102" s="627"/>
      <x:c r="M102" s="524"/>
      <x:c r="N102" s="524"/>
      <x:c r="O102" s="524"/>
    </x:row>
    <x:row r="103">
      <x:c r="A103" s="556" t="n"/>
      <x:c r="B103" s="557" t="n"/>
      <x:c r="C103" s="557" t="n"/>
      <x:c r="D103" s="557" t="n"/>
      <x:c r="E103" s="557" t="n"/>
      <x:c r="F103" s="562" t="n"/>
      <x:c r="G103" s="563" t="n"/>
      <x:c r="H103" s="564" t="str">
        <x:f>IF(OR(F103="",G103=""),"",F103*G103)</x:f>
      </x:c>
      <x:c r="I103" s="563" t="n"/>
      <x:c r="J103" s="557" t="n"/>
      <x:c r="K103" s="561" t="str">
        <x:f>IF(B103="","",IF(AND(B103="Phụ kiện khác",C103=""),"⚠ NHẬP TÊN PHỤ KIỆN",IF(C103="","⚠ NHẬP TÊN SẢN PHẨM","OK")))</x:f>
      </x:c>
      <x:c r="L103" s="627"/>
      <x:c r="M103" s="524"/>
      <x:c r="N103" s="524"/>
      <x:c r="O103" s="524"/>
    </x:row>
    <x:row r="104">
      <x:c r="A104" s="556" t="n"/>
      <x:c r="B104" s="557" t="n"/>
      <x:c r="C104" s="557" t="n"/>
      <x:c r="D104" s="557" t="n"/>
      <x:c r="E104" s="557" t="n"/>
      <x:c r="F104" s="562" t="n"/>
      <x:c r="G104" s="563" t="n"/>
      <x:c r="H104" s="564" t="str">
        <x:f>IF(OR(F104="",G104=""),"",F104*G104)</x:f>
      </x:c>
      <x:c r="I104" s="563" t="n"/>
      <x:c r="J104" s="557" t="n"/>
      <x:c r="K104" s="561" t="str">
        <x:f>IF(B104="","",IF(AND(B104="Phụ kiện khác",C104=""),"⚠ NHẬP TÊN PHỤ KIỆN",IF(C104="","⚠ NHẬP TÊN SẢN PHẨM","OK")))</x:f>
      </x:c>
      <x:c r="L104" s="627"/>
      <x:c r="M104" s="524"/>
      <x:c r="N104" s="524"/>
      <x:c r="O104" s="524"/>
    </x:row>
    <x:row r="105">
      <x:c r="A105" s="556" t="n"/>
      <x:c r="B105" s="557" t="n"/>
      <x:c r="C105" s="557" t="n"/>
      <x:c r="D105" s="557" t="n"/>
      <x:c r="E105" s="557" t="n"/>
      <x:c r="F105" s="562" t="n"/>
      <x:c r="G105" s="563" t="n"/>
      <x:c r="H105" s="564" t="str">
        <x:f>IF(OR(F105="",G105=""),"",F105*G105)</x:f>
      </x:c>
      <x:c r="I105" s="563" t="n"/>
      <x:c r="J105" s="557" t="n"/>
      <x:c r="K105" s="561" t="str">
        <x:f>IF(B105="","",IF(AND(B105="Phụ kiện khác",C105=""),"⚠ NHẬP TÊN PHỤ KIỆN",IF(C105="","⚠ NHẬP TÊN SẢN PHẨM","OK")))</x:f>
      </x:c>
      <x:c r="L105" s="627"/>
      <x:c r="M105" s="524"/>
      <x:c r="N105" s="524"/>
      <x:c r="O105" s="524"/>
    </x:row>
    <x:row r="106">
      <x:c r="A106" s="556" t="n"/>
      <x:c r="B106" s="557" t="n"/>
      <x:c r="C106" s="557" t="n"/>
      <x:c r="D106" s="557" t="n"/>
      <x:c r="E106" s="557" t="n"/>
      <x:c r="F106" s="562" t="n"/>
      <x:c r="G106" s="563" t="n"/>
      <x:c r="H106" s="564" t="str">
        <x:f>IF(OR(F106="",G106=""),"",F106*G106)</x:f>
      </x:c>
      <x:c r="I106" s="563" t="n"/>
      <x:c r="J106" s="557" t="n"/>
      <x:c r="K106" s="561" t="str">
        <x:f>IF(B106="","",IF(AND(B106="Phụ kiện khác",C106=""),"⚠ NHẬP TÊN PHỤ KIỆN",IF(C106="","⚠ NHẬP TÊN SẢN PHẨM","OK")))</x:f>
      </x:c>
      <x:c r="L106" s="627"/>
      <x:c r="M106" s="524"/>
      <x:c r="N106" s="524"/>
      <x:c r="O106" s="524"/>
    </x:row>
    <x:row r="107">
      <x:c r="A107" s="556" t="n"/>
      <x:c r="B107" s="557" t="n"/>
      <x:c r="C107" s="557" t="n"/>
      <x:c r="D107" s="557" t="n"/>
      <x:c r="E107" s="557" t="n"/>
      <x:c r="F107" s="562" t="n"/>
      <x:c r="G107" s="563" t="n"/>
      <x:c r="H107" s="564" t="str">
        <x:f>IF(OR(F107="",G107=""),"",F107*G107)</x:f>
      </x:c>
      <x:c r="I107" s="563" t="n"/>
      <x:c r="J107" s="557" t="n"/>
      <x:c r="K107" s="561" t="str">
        <x:f>IF(B107="","",IF(AND(B107="Phụ kiện khác",C107=""),"⚠ NHẬP TÊN PHỤ KIỆN",IF(C107="","⚠ NHẬP TÊN SẢN PHẨM","OK")))</x:f>
      </x:c>
      <x:c r="L107" s="627"/>
      <x:c r="M107" s="524"/>
      <x:c r="N107" s="524"/>
      <x:c r="O107" s="524"/>
    </x:row>
    <x:row r="108">
      <x:c r="A108" s="556" t="n"/>
      <x:c r="B108" s="557" t="n"/>
      <x:c r="C108" s="557" t="n"/>
      <x:c r="D108" s="557" t="n"/>
      <x:c r="E108" s="557" t="n"/>
      <x:c r="F108" s="562" t="n"/>
      <x:c r="G108" s="563" t="n"/>
      <x:c r="H108" s="564" t="str">
        <x:f>IF(OR(F108="",G108=""),"",F108*G108)</x:f>
      </x:c>
      <x:c r="I108" s="563" t="n"/>
      <x:c r="J108" s="557" t="n"/>
      <x:c r="K108" s="561" t="str">
        <x:f>IF(B108="","",IF(AND(B108="Phụ kiện khác",C108=""),"⚠ NHẬP TÊN PHỤ KIỆN",IF(C108="","⚠ NHẬP TÊN SẢN PHẨM","OK")))</x:f>
      </x:c>
      <x:c r="L108" s="627"/>
      <x:c r="M108" s="524"/>
      <x:c r="N108" s="524"/>
      <x:c r="O108" s="524"/>
    </x:row>
    <x:row r="109">
      <x:c r="A109" s="556" t="n"/>
      <x:c r="B109" s="557" t="n"/>
      <x:c r="C109" s="557" t="n"/>
      <x:c r="D109" s="557" t="n"/>
      <x:c r="E109" s="557" t="n"/>
      <x:c r="F109" s="562" t="n"/>
      <x:c r="G109" s="563" t="n"/>
      <x:c r="H109" s="564" t="str">
        <x:f>IF(OR(F109="",G109=""),"",F109*G109)</x:f>
      </x:c>
      <x:c r="I109" s="563" t="n"/>
      <x:c r="J109" s="557" t="n"/>
      <x:c r="K109" s="561" t="str">
        <x:f>IF(B109="","",IF(AND(B109="Phụ kiện khác",C109=""),"⚠ NHẬP TÊN PHỤ KIỆN",IF(C109="","⚠ NHẬP TÊN SẢN PHẨM","OK")))</x:f>
      </x:c>
      <x:c r="L109" s="627"/>
      <x:c r="M109" s="524"/>
      <x:c r="N109" s="524"/>
      <x:c r="O109" s="524"/>
    </x:row>
    <x:row r="110">
      <x:c r="A110" s="556" t="n"/>
      <x:c r="B110" s="557" t="n"/>
      <x:c r="C110" s="557" t="n"/>
      <x:c r="D110" s="557" t="n"/>
      <x:c r="E110" s="557" t="n"/>
      <x:c r="F110" s="562" t="n"/>
      <x:c r="G110" s="563" t="n"/>
      <x:c r="H110" s="564" t="str">
        <x:f>IF(OR(F110="",G110=""),"",F110*G110)</x:f>
      </x:c>
      <x:c r="I110" s="563" t="n"/>
      <x:c r="J110" s="557" t="n"/>
      <x:c r="K110" s="561" t="str">
        <x:f>IF(B110="","",IF(AND(B110="Phụ kiện khác",C110=""),"⚠ NHẬP TÊN PHỤ KIỆN",IF(C110="","⚠ NHẬP TÊN SẢN PHẨM","OK")))</x:f>
      </x:c>
      <x:c r="L110" s="627"/>
      <x:c r="M110" s="524"/>
      <x:c r="N110" s="524"/>
      <x:c r="O110" s="524"/>
    </x:row>
    <x:row r="111">
      <x:c r="A111" s="556" t="n"/>
      <x:c r="B111" s="557" t="n"/>
      <x:c r="C111" s="557" t="n"/>
      <x:c r="D111" s="557" t="n"/>
      <x:c r="E111" s="557" t="n"/>
      <x:c r="F111" s="562" t="n"/>
      <x:c r="G111" s="563" t="n"/>
      <x:c r="H111" s="564" t="str">
        <x:f>IF(OR(F111="",G111=""),"",F111*G111)</x:f>
      </x:c>
      <x:c r="I111" s="563" t="n"/>
      <x:c r="J111" s="557" t="n"/>
      <x:c r="K111" s="561" t="str">
        <x:f>IF(B111="","",IF(AND(B111="Phụ kiện khác",C111=""),"⚠ NHẬP TÊN PHỤ KIỆN",IF(C111="","⚠ NHẬP TÊN SẢN PHẨM","OK")))</x:f>
      </x:c>
      <x:c r="L111" s="627"/>
      <x:c r="M111" s="524"/>
      <x:c r="N111" s="524"/>
      <x:c r="O111" s="524"/>
    </x:row>
    <x:row r="112">
      <x:c r="A112" s="556" t="n"/>
      <x:c r="B112" s="557" t="n"/>
      <x:c r="C112" s="557" t="n"/>
      <x:c r="D112" s="557" t="n"/>
      <x:c r="E112" s="557" t="n"/>
      <x:c r="F112" s="562" t="n"/>
      <x:c r="G112" s="563" t="n"/>
      <x:c r="H112" s="564" t="str">
        <x:f>IF(OR(F112="",G112=""),"",F112*G112)</x:f>
      </x:c>
      <x:c r="I112" s="563" t="n"/>
      <x:c r="J112" s="557" t="n"/>
      <x:c r="K112" s="561" t="str">
        <x:f>IF(B112="","",IF(AND(B112="Phụ kiện khác",C112=""),"⚠ NHẬP TÊN PHỤ KIỆN",IF(C112="","⚠ NHẬP TÊN SẢN PHẨM","OK")))</x:f>
      </x:c>
      <x:c r="L112" s="627"/>
      <x:c r="M112" s="524"/>
      <x:c r="N112" s="524"/>
      <x:c r="O112" s="524"/>
    </x:row>
    <x:row r="113">
      <x:c r="A113" s="556" t="n"/>
      <x:c r="B113" s="557" t="n"/>
      <x:c r="C113" s="557" t="n"/>
      <x:c r="D113" s="557" t="n"/>
      <x:c r="E113" s="557" t="n"/>
      <x:c r="F113" s="562" t="n"/>
      <x:c r="G113" s="563" t="n"/>
      <x:c r="H113" s="564" t="str">
        <x:f>IF(OR(F113="",G113=""),"",F113*G113)</x:f>
      </x:c>
      <x:c r="I113" s="563" t="n"/>
      <x:c r="J113" s="557" t="n"/>
      <x:c r="K113" s="561" t="str">
        <x:f>IF(B113="","",IF(AND(B113="Phụ kiện khác",C113=""),"⚠ NHẬP TÊN PHỤ KIỆN",IF(C113="","⚠ NHẬP TÊN SẢN PHẨM","OK")))</x:f>
      </x:c>
      <x:c r="L113" s="627"/>
      <x:c r="M113" s="524"/>
      <x:c r="N113" s="524"/>
      <x:c r="O113" s="524"/>
    </x:row>
    <x:row r="114">
      <x:c r="A114" s="556" t="n"/>
      <x:c r="B114" s="557" t="n"/>
      <x:c r="C114" s="557" t="n"/>
      <x:c r="D114" s="557" t="n"/>
      <x:c r="E114" s="557" t="n"/>
      <x:c r="F114" s="562" t="n"/>
      <x:c r="G114" s="563" t="n"/>
      <x:c r="H114" s="564" t="str">
        <x:f>IF(OR(F114="",G114=""),"",F114*G114)</x:f>
      </x:c>
      <x:c r="I114" s="563" t="n"/>
      <x:c r="J114" s="557" t="n"/>
      <x:c r="K114" s="561" t="str">
        <x:f>IF(B114="","",IF(AND(B114="Phụ kiện khác",C114=""),"⚠ NHẬP TÊN PHỤ KIỆN",IF(C114="","⚠ NHẬP TÊN SẢN PHẨM","OK")))</x:f>
      </x:c>
      <x:c r="L114" s="627"/>
      <x:c r="M114" s="524"/>
      <x:c r="N114" s="524"/>
      <x:c r="O114" s="524"/>
    </x:row>
    <x:row r="115">
      <x:c r="A115" s="556" t="n"/>
      <x:c r="B115" s="557" t="n"/>
      <x:c r="C115" s="557" t="n"/>
      <x:c r="D115" s="557" t="n"/>
      <x:c r="E115" s="557" t="n"/>
      <x:c r="F115" s="562" t="n"/>
      <x:c r="G115" s="563" t="n"/>
      <x:c r="H115" s="564" t="str">
        <x:f>IF(OR(F115="",G115=""),"",F115*G115)</x:f>
      </x:c>
      <x:c r="I115" s="563" t="n"/>
      <x:c r="J115" s="557" t="n"/>
      <x:c r="K115" s="561" t="str">
        <x:f>IF(B115="","",IF(AND(B115="Phụ kiện khác",C115=""),"⚠ NHẬP TÊN PHỤ KIỆN",IF(C115="","⚠ NHẬP TÊN SẢN PHẨM","OK")))</x:f>
      </x:c>
      <x:c r="L115" s="627"/>
      <x:c r="M115" s="524"/>
      <x:c r="N115" s="524"/>
      <x:c r="O115" s="524"/>
    </x:row>
    <x:row r="116">
      <x:c r="A116" s="556" t="n"/>
      <x:c r="B116" s="557" t="n"/>
      <x:c r="C116" s="557" t="n"/>
      <x:c r="D116" s="557" t="n"/>
      <x:c r="E116" s="557" t="n"/>
      <x:c r="F116" s="562" t="n"/>
      <x:c r="G116" s="563" t="n"/>
      <x:c r="H116" s="564" t="str">
        <x:f>IF(OR(F116="",G116=""),"",F116*G116)</x:f>
      </x:c>
      <x:c r="I116" s="563" t="n"/>
      <x:c r="J116" s="557" t="n"/>
      <x:c r="K116" s="561" t="str">
        <x:f>IF(B116="","",IF(AND(B116="Phụ kiện khác",C116=""),"⚠ NHẬP TÊN PHỤ KIỆN",IF(C116="","⚠ NHẬP TÊN SẢN PHẨM","OK")))</x:f>
      </x:c>
      <x:c r="L116" s="627"/>
      <x:c r="M116" s="524"/>
      <x:c r="N116" s="524"/>
      <x:c r="O116" s="524"/>
    </x:row>
    <x:row r="117">
      <x:c r="A117" s="556" t="n"/>
      <x:c r="B117" s="557" t="n"/>
      <x:c r="C117" s="557" t="n"/>
      <x:c r="D117" s="557" t="n"/>
      <x:c r="E117" s="557" t="n"/>
      <x:c r="F117" s="562" t="n"/>
      <x:c r="G117" s="563" t="n"/>
      <x:c r="H117" s="564" t="str">
        <x:f>IF(OR(F117="",G117=""),"",F117*G117)</x:f>
      </x:c>
      <x:c r="I117" s="563" t="n"/>
      <x:c r="J117" s="557" t="n"/>
      <x:c r="K117" s="561" t="str">
        <x:f>IF(B117="","",IF(AND(B117="Phụ kiện khác",C117=""),"⚠ NHẬP TÊN PHỤ KIỆN",IF(C117="","⚠ NHẬP TÊN SẢN PHẨM","OK")))</x:f>
      </x:c>
      <x:c r="L117" s="627"/>
      <x:c r="M117" s="524"/>
      <x:c r="N117" s="524"/>
      <x:c r="O117" s="524"/>
    </x:row>
    <x:row r="118">
      <x:c r="A118" s="556" t="n"/>
      <x:c r="B118" s="557" t="n"/>
      <x:c r="C118" s="557" t="n"/>
      <x:c r="D118" s="557" t="n"/>
      <x:c r="E118" s="557" t="n"/>
      <x:c r="F118" s="562" t="n"/>
      <x:c r="G118" s="563" t="n"/>
      <x:c r="H118" s="564" t="str">
        <x:f>IF(OR(F118="",G118=""),"",F118*G118)</x:f>
      </x:c>
      <x:c r="I118" s="563" t="n"/>
      <x:c r="J118" s="557" t="n"/>
      <x:c r="K118" s="561" t="str">
        <x:f>IF(B118="","",IF(AND(B118="Phụ kiện khác",C118=""),"⚠ NHẬP TÊN PHỤ KIỆN",IF(C118="","⚠ NHẬP TÊN SẢN PHẨM","OK")))</x:f>
      </x:c>
      <x:c r="L118" s="627"/>
      <x:c r="M118" s="524"/>
      <x:c r="N118" s="524"/>
      <x:c r="O118" s="524"/>
    </x:row>
    <x:row r="119">
      <x:c r="A119" s="556" t="n"/>
      <x:c r="B119" s="557" t="n"/>
      <x:c r="C119" s="557" t="n"/>
      <x:c r="D119" s="557" t="n"/>
      <x:c r="E119" s="557" t="n"/>
      <x:c r="F119" s="562" t="n"/>
      <x:c r="G119" s="563" t="n"/>
      <x:c r="H119" s="564" t="str">
        <x:f>IF(OR(F119="",G119=""),"",F119*G119)</x:f>
      </x:c>
      <x:c r="I119" s="563" t="n"/>
      <x:c r="J119" s="557" t="n"/>
      <x:c r="K119" s="561" t="str">
        <x:f>IF(B119="","",IF(AND(B119="Phụ kiện khác",C119=""),"⚠ NHẬP TÊN PHỤ KIỆN",IF(C119="","⚠ NHẬP TÊN SẢN PHẨM","OK")))</x:f>
      </x:c>
      <x:c r="L119" s="627"/>
      <x:c r="M119" s="524"/>
      <x:c r="N119" s="524"/>
      <x:c r="O119" s="524"/>
    </x:row>
    <x:row r="120">
      <x:c r="A120" s="556" t="n"/>
      <x:c r="B120" s="557" t="n"/>
      <x:c r="C120" s="557" t="n"/>
      <x:c r="D120" s="557" t="n"/>
      <x:c r="E120" s="557" t="n"/>
      <x:c r="F120" s="562" t="n"/>
      <x:c r="G120" s="563" t="n"/>
      <x:c r="H120" s="564" t="str">
        <x:f>IF(OR(F120="",G120=""),"",F120*G120)</x:f>
      </x:c>
      <x:c r="I120" s="563" t="n"/>
      <x:c r="J120" s="557" t="n"/>
      <x:c r="K120" s="561" t="str">
        <x:f>IF(B120="","",IF(AND(B120="Phụ kiện khác",C120=""),"⚠ NHẬP TÊN PHỤ KIỆN",IF(C120="","⚠ NHẬP TÊN SẢN PHẨM","OK")))</x:f>
      </x:c>
      <x:c r="L120" s="627"/>
      <x:c r="M120" s="524"/>
      <x:c r="N120" s="524"/>
      <x:c r="O120" s="524"/>
    </x:row>
    <x:row r="121">
      <x:c r="A121" s="556" t="n"/>
      <x:c r="B121" s="557" t="n"/>
      <x:c r="C121" s="557" t="n"/>
      <x:c r="D121" s="557" t="n"/>
      <x:c r="E121" s="557" t="n"/>
      <x:c r="F121" s="562" t="n"/>
      <x:c r="G121" s="563" t="n"/>
      <x:c r="H121" s="564" t="str">
        <x:f>IF(OR(F121="",G121=""),"",F121*G121)</x:f>
      </x:c>
      <x:c r="I121" s="563" t="n"/>
      <x:c r="J121" s="557" t="n"/>
      <x:c r="K121" s="561" t="str">
        <x:f>IF(B121="","",IF(AND(B121="Phụ kiện khác",C121=""),"⚠ NHẬP TÊN PHỤ KIỆN",IF(C121="","⚠ NHẬP TÊN SẢN PHẨM","OK")))</x:f>
      </x:c>
      <x:c r="L121" s="627"/>
      <x:c r="M121" s="524"/>
      <x:c r="N121" s="524"/>
      <x:c r="O121" s="524"/>
    </x:row>
    <x:row r="122">
      <x:c r="A122" s="556" t="n"/>
      <x:c r="B122" s="557" t="n"/>
      <x:c r="C122" s="557" t="n"/>
      <x:c r="D122" s="557" t="n"/>
      <x:c r="E122" s="557" t="n"/>
      <x:c r="F122" s="562" t="n"/>
      <x:c r="G122" s="563" t="n"/>
      <x:c r="H122" s="564" t="str">
        <x:f>IF(OR(F122="",G122=""),"",F122*G122)</x:f>
      </x:c>
      <x:c r="I122" s="563" t="n"/>
      <x:c r="J122" s="557" t="n"/>
      <x:c r="K122" s="561" t="str">
        <x:f>IF(B122="","",IF(AND(B122="Phụ kiện khác",C122=""),"⚠ NHẬP TÊN PHỤ KIỆN",IF(C122="","⚠ NHẬP TÊN SẢN PHẨM","OK")))</x:f>
      </x:c>
      <x:c r="L122" s="627"/>
      <x:c r="M122" s="524"/>
      <x:c r="N122" s="524"/>
      <x:c r="O122" s="524"/>
    </x:row>
    <x:row r="123">
      <x:c r="A123" s="556" t="n"/>
      <x:c r="B123" s="557" t="n"/>
      <x:c r="C123" s="557" t="n"/>
      <x:c r="D123" s="557" t="n"/>
      <x:c r="E123" s="557" t="n"/>
      <x:c r="F123" s="562" t="n"/>
      <x:c r="G123" s="563" t="n"/>
      <x:c r="H123" s="564" t="str">
        <x:f>IF(OR(F123="",G123=""),"",F123*G123)</x:f>
      </x:c>
      <x:c r="I123" s="563" t="n"/>
      <x:c r="J123" s="557" t="n"/>
      <x:c r="K123" s="561" t="str">
        <x:f>IF(B123="","",IF(AND(B123="Phụ kiện khác",C123=""),"⚠ NHẬP TÊN PHỤ KIỆN",IF(C123="","⚠ NHẬP TÊN SẢN PHẨM","OK")))</x:f>
      </x:c>
      <x:c r="L123" s="627"/>
      <x:c r="M123" s="524"/>
      <x:c r="N123" s="524"/>
      <x:c r="O123" s="524"/>
    </x:row>
    <x:row r="124">
      <x:c r="A124" s="556" t="n"/>
      <x:c r="B124" s="557" t="n"/>
      <x:c r="C124" s="557" t="n"/>
      <x:c r="D124" s="557" t="n"/>
      <x:c r="E124" s="557" t="n"/>
      <x:c r="F124" s="562" t="n"/>
      <x:c r="G124" s="563" t="n"/>
      <x:c r="H124" s="564" t="str">
        <x:f>IF(OR(F124="",G124=""),"",F124*G124)</x:f>
      </x:c>
      <x:c r="I124" s="563" t="n"/>
      <x:c r="J124" s="557" t="n"/>
      <x:c r="K124" s="561" t="str">
        <x:f>IF(B124="","",IF(AND(B124="Phụ kiện khác",C124=""),"⚠ NHẬP TÊN PHỤ KIỆN",IF(C124="","⚠ NHẬP TÊN SẢN PHẨM","OK")))</x:f>
      </x:c>
      <x:c r="L124" s="627"/>
      <x:c r="M124" s="524"/>
      <x:c r="N124" s="524"/>
      <x:c r="O124" s="524"/>
    </x:row>
    <x:row r="125">
      <x:c r="A125" s="556" t="n"/>
      <x:c r="B125" s="557" t="n"/>
      <x:c r="C125" s="557" t="n"/>
      <x:c r="D125" s="557" t="n"/>
      <x:c r="E125" s="557" t="n"/>
      <x:c r="F125" s="562" t="n"/>
      <x:c r="G125" s="563" t="n"/>
      <x:c r="H125" s="564" t="str">
        <x:f>IF(OR(F125="",G125=""),"",F125*G125)</x:f>
      </x:c>
      <x:c r="I125" s="563" t="n"/>
      <x:c r="J125" s="557" t="n"/>
      <x:c r="K125" s="561" t="str">
        <x:f>IF(B125="","",IF(AND(B125="Phụ kiện khác",C125=""),"⚠ NHẬP TÊN PHỤ KIỆN",IF(C125="","⚠ NHẬP TÊN SẢN PHẨM","OK")))</x:f>
      </x:c>
      <x:c r="L125" s="627"/>
      <x:c r="M125" s="524"/>
      <x:c r="N125" s="524"/>
      <x:c r="O125" s="524"/>
    </x:row>
    <x:row r="126">
      <x:c r="A126" s="556" t="n"/>
      <x:c r="B126" s="557" t="n"/>
      <x:c r="C126" s="557" t="n"/>
      <x:c r="D126" s="557" t="n"/>
      <x:c r="E126" s="557" t="n"/>
      <x:c r="F126" s="562" t="n"/>
      <x:c r="G126" s="563" t="n"/>
      <x:c r="H126" s="564" t="str">
        <x:f>IF(OR(F126="",G126=""),"",F126*G126)</x:f>
      </x:c>
      <x:c r="I126" s="563" t="n"/>
      <x:c r="J126" s="557" t="n"/>
      <x:c r="K126" s="561" t="str">
        <x:f>IF(B126="","",IF(AND(B126="Phụ kiện khác",C126=""),"⚠ NHẬP TÊN PHỤ KIỆN",IF(C126="","⚠ NHẬP TÊN SẢN PHẨM","OK")))</x:f>
      </x:c>
      <x:c r="L126" s="627"/>
      <x:c r="M126" s="524"/>
      <x:c r="N126" s="524"/>
      <x:c r="O126" s="524"/>
    </x:row>
    <x:row r="127">
      <x:c r="A127" s="556" t="n"/>
      <x:c r="B127" s="557" t="n"/>
      <x:c r="C127" s="557" t="n"/>
      <x:c r="D127" s="557" t="n"/>
      <x:c r="E127" s="557" t="n"/>
      <x:c r="F127" s="562" t="n"/>
      <x:c r="G127" s="563" t="n"/>
      <x:c r="H127" s="564" t="str">
        <x:f>IF(OR(F127="",G127=""),"",F127*G127)</x:f>
      </x:c>
      <x:c r="I127" s="563" t="n"/>
      <x:c r="J127" s="557" t="n"/>
      <x:c r="K127" s="561" t="str">
        <x:f>IF(B127="","",IF(AND(B127="Phụ kiện khác",C127=""),"⚠ NHẬP TÊN PHỤ KIỆN",IF(C127="","⚠ NHẬP TÊN SẢN PHẨM","OK")))</x:f>
      </x:c>
      <x:c r="L127" s="627"/>
      <x:c r="M127" s="524"/>
      <x:c r="N127" s="524"/>
      <x:c r="O127" s="524"/>
    </x:row>
    <x:row r="128">
      <x:c r="A128" s="556" t="n"/>
      <x:c r="B128" s="557" t="n"/>
      <x:c r="C128" s="557" t="n"/>
      <x:c r="D128" s="557" t="n"/>
      <x:c r="E128" s="557" t="n"/>
      <x:c r="F128" s="562" t="n"/>
      <x:c r="G128" s="563" t="n"/>
      <x:c r="H128" s="564" t="str">
        <x:f>IF(OR(F128="",G128=""),"",F128*G128)</x:f>
      </x:c>
      <x:c r="I128" s="563" t="n"/>
      <x:c r="J128" s="557" t="n"/>
      <x:c r="K128" s="561" t="str">
        <x:f>IF(B128="","",IF(AND(B128="Phụ kiện khác",C128=""),"⚠ NHẬP TÊN PHỤ KIỆN",IF(C128="","⚠ NHẬP TÊN SẢN PHẨM","OK")))</x:f>
      </x:c>
      <x:c r="L128" s="627"/>
      <x:c r="M128" s="524"/>
      <x:c r="N128" s="524"/>
      <x:c r="O128" s="524"/>
    </x:row>
    <x:row r="129">
      <x:c r="A129" s="556" t="n"/>
      <x:c r="B129" s="557" t="n"/>
      <x:c r="C129" s="557" t="n"/>
      <x:c r="D129" s="557" t="n"/>
      <x:c r="E129" s="557" t="n"/>
      <x:c r="F129" s="562" t="n"/>
      <x:c r="G129" s="563" t="n"/>
      <x:c r="H129" s="564" t="str">
        <x:f>IF(OR(F129="",G129=""),"",F129*G129)</x:f>
      </x:c>
      <x:c r="I129" s="563" t="n"/>
      <x:c r="J129" s="557" t="n"/>
      <x:c r="K129" s="561" t="str">
        <x:f>IF(B129="","",IF(AND(B129="Phụ kiện khác",C129=""),"⚠ NHẬP TÊN PHỤ KIỆN",IF(C129="","⚠ NHẬP TÊN SẢN PHẨM","OK")))</x:f>
      </x:c>
      <x:c r="L129" s="627"/>
      <x:c r="M129" s="524"/>
      <x:c r="N129" s="524"/>
      <x:c r="O129" s="524"/>
    </x:row>
    <x:row r="130">
      <x:c r="A130" s="556" t="n"/>
      <x:c r="B130" s="557" t="n"/>
      <x:c r="C130" s="557" t="n"/>
      <x:c r="D130" s="557" t="n"/>
      <x:c r="E130" s="557" t="n"/>
      <x:c r="F130" s="562" t="n"/>
      <x:c r="G130" s="563" t="n"/>
      <x:c r="H130" s="564" t="str">
        <x:f>IF(OR(F130="",G130=""),"",F130*G130)</x:f>
      </x:c>
      <x:c r="I130" s="563" t="n"/>
      <x:c r="J130" s="557" t="n"/>
      <x:c r="K130" s="561" t="str">
        <x:f>IF(B130="","",IF(AND(B130="Phụ kiện khác",C130=""),"⚠ NHẬP TÊN PHỤ KIỆN",IF(C130="","⚠ NHẬP TÊN SẢN PHẨM","OK")))</x:f>
      </x:c>
      <x:c r="L130" s="627"/>
      <x:c r="M130" s="524"/>
      <x:c r="N130" s="524"/>
      <x:c r="O130" s="524"/>
    </x:row>
    <x:row r="131">
      <x:c r="A131" s="556" t="n"/>
      <x:c r="B131" s="557" t="n"/>
      <x:c r="C131" s="557" t="n"/>
      <x:c r="D131" s="557" t="n"/>
      <x:c r="E131" s="557" t="n"/>
      <x:c r="F131" s="562" t="n"/>
      <x:c r="G131" s="563" t="n"/>
      <x:c r="H131" s="564" t="str">
        <x:f>IF(OR(F131="",G131=""),"",F131*G131)</x:f>
      </x:c>
      <x:c r="I131" s="563" t="n"/>
      <x:c r="J131" s="557" t="n"/>
      <x:c r="K131" s="561" t="str">
        <x:f>IF(B131="","",IF(AND(B131="Phụ kiện khác",C131=""),"⚠ NHẬP TÊN PHỤ KIỆN",IF(C131="","⚠ NHẬP TÊN SẢN PHẨM","OK")))</x:f>
      </x:c>
      <x:c r="L131" s="627"/>
      <x:c r="M131" s="524"/>
      <x:c r="N131" s="524"/>
      <x:c r="O131" s="524"/>
    </x:row>
    <x:row r="132">
      <x:c r="A132" s="556" t="n"/>
      <x:c r="B132" s="557" t="n"/>
      <x:c r="C132" s="557" t="n"/>
      <x:c r="D132" s="557" t="n"/>
      <x:c r="E132" s="557" t="n"/>
      <x:c r="F132" s="562" t="n"/>
      <x:c r="G132" s="563" t="n"/>
      <x:c r="H132" s="564" t="str">
        <x:f>IF(OR(F132="",G132=""),"",F132*G132)</x:f>
      </x:c>
      <x:c r="I132" s="563" t="n"/>
      <x:c r="J132" s="557" t="n"/>
      <x:c r="K132" s="561" t="str">
        <x:f>IF(B132="","",IF(AND(B132="Phụ kiện khác",C132=""),"⚠ NHẬP TÊN PHỤ KIỆN",IF(C132="","⚠ NHẬP TÊN SẢN PHẨM","OK")))</x:f>
      </x:c>
      <x:c r="L132" s="627"/>
      <x:c r="M132" s="524"/>
      <x:c r="N132" s="524"/>
      <x:c r="O132" s="524"/>
    </x:row>
    <x:row r="133">
      <x:c r="A133" s="556" t="n"/>
      <x:c r="B133" s="557" t="n"/>
      <x:c r="C133" s="557" t="n"/>
      <x:c r="D133" s="557" t="n"/>
      <x:c r="E133" s="557" t="n"/>
      <x:c r="F133" s="562" t="n"/>
      <x:c r="G133" s="563" t="n"/>
      <x:c r="H133" s="564" t="str">
        <x:f>IF(OR(F133="",G133=""),"",F133*G133)</x:f>
      </x:c>
      <x:c r="I133" s="563" t="n"/>
      <x:c r="J133" s="557" t="n"/>
      <x:c r="K133" s="561" t="str">
        <x:f>IF(B133="","",IF(AND(B133="Phụ kiện khác",C133=""),"⚠ NHẬP TÊN PHỤ KIỆN",IF(C133="","⚠ NHẬP TÊN SẢN PHẨM","OK")))</x:f>
      </x:c>
      <x:c r="L133" s="627"/>
      <x:c r="M133" s="524"/>
      <x:c r="N133" s="524"/>
      <x:c r="O133" s="524"/>
    </x:row>
    <x:row r="134">
      <x:c r="A134" s="556" t="n"/>
      <x:c r="B134" s="557" t="n"/>
      <x:c r="C134" s="557" t="n"/>
      <x:c r="D134" s="557" t="n"/>
      <x:c r="E134" s="557" t="n"/>
      <x:c r="F134" s="562" t="n"/>
      <x:c r="G134" s="563" t="n"/>
      <x:c r="H134" s="564" t="str">
        <x:f>IF(OR(F134="",G134=""),"",F134*G134)</x:f>
      </x:c>
      <x:c r="I134" s="563" t="n"/>
      <x:c r="J134" s="557" t="n"/>
      <x:c r="K134" s="561" t="str">
        <x:f>IF(B134="","",IF(AND(B134="Phụ kiện khác",C134=""),"⚠ NHẬP TÊN PHỤ KIỆN",IF(C134="","⚠ NHẬP TÊN SẢN PHẨM","OK")))</x:f>
      </x:c>
      <x:c r="L134" s="627"/>
      <x:c r="M134" s="524"/>
      <x:c r="N134" s="524"/>
      <x:c r="O134" s="524"/>
    </x:row>
    <x:row r="135">
      <x:c r="A135" s="556" t="n"/>
      <x:c r="B135" s="557" t="n"/>
      <x:c r="C135" s="557" t="n"/>
      <x:c r="D135" s="557" t="n"/>
      <x:c r="E135" s="557" t="n"/>
      <x:c r="F135" s="562" t="n"/>
      <x:c r="G135" s="563" t="n"/>
      <x:c r="H135" s="564" t="str">
        <x:f>IF(OR(F135="",G135=""),"",F135*G135)</x:f>
      </x:c>
      <x:c r="I135" s="563" t="n"/>
      <x:c r="J135" s="557" t="n"/>
      <x:c r="K135" s="561" t="str">
        <x:f>IF(B135="","",IF(AND(B135="Phụ kiện khác",C135=""),"⚠ NHẬP TÊN PHỤ KIỆN",IF(C135="","⚠ NHẬP TÊN SẢN PHẨM","OK")))</x:f>
      </x:c>
      <x:c r="L135" s="627"/>
      <x:c r="M135" s="524"/>
      <x:c r="N135" s="524"/>
      <x:c r="O135" s="524"/>
    </x:row>
    <x:row r="136">
      <x:c r="A136" s="556" t="n"/>
      <x:c r="B136" s="557" t="n"/>
      <x:c r="C136" s="557" t="n"/>
      <x:c r="D136" s="557" t="n"/>
      <x:c r="E136" s="557" t="n"/>
      <x:c r="F136" s="562" t="n"/>
      <x:c r="G136" s="563" t="n"/>
      <x:c r="H136" s="564" t="str">
        <x:f>IF(OR(F136="",G136=""),"",F136*G136)</x:f>
      </x:c>
      <x:c r="I136" s="563" t="n"/>
      <x:c r="J136" s="557" t="n"/>
      <x:c r="K136" s="561" t="str">
        <x:f>IF(B136="","",IF(AND(B136="Phụ kiện khác",C136=""),"⚠ NHẬP TÊN PHỤ KIỆN",IF(C136="","⚠ NHẬP TÊN SẢN PHẨM","OK")))</x:f>
      </x:c>
      <x:c r="L136" s="627"/>
      <x:c r="M136" s="524"/>
      <x:c r="N136" s="524"/>
      <x:c r="O136" s="524"/>
    </x:row>
    <x:row r="137">
      <x:c r="A137" s="556" t="n"/>
      <x:c r="B137" s="557" t="n"/>
      <x:c r="C137" s="557" t="n"/>
      <x:c r="D137" s="557" t="n"/>
      <x:c r="E137" s="557" t="n"/>
      <x:c r="F137" s="562" t="n"/>
      <x:c r="G137" s="563" t="n"/>
      <x:c r="H137" s="564" t="str">
        <x:f>IF(OR(F137="",G137=""),"",F137*G137)</x:f>
      </x:c>
      <x:c r="I137" s="563" t="n"/>
      <x:c r="J137" s="557" t="n"/>
      <x:c r="K137" s="561" t="str">
        <x:f>IF(B137="","",IF(AND(B137="Phụ kiện khác",C137=""),"⚠ NHẬP TÊN PHỤ KIỆN",IF(C137="","⚠ NHẬP TÊN SẢN PHẨM","OK")))</x:f>
      </x:c>
      <x:c r="L137" s="627"/>
      <x:c r="M137" s="524"/>
      <x:c r="N137" s="524"/>
      <x:c r="O137" s="524"/>
    </x:row>
    <x:row r="138">
      <x:c r="A138" s="556" t="n"/>
      <x:c r="B138" s="557" t="n"/>
      <x:c r="C138" s="557" t="n"/>
      <x:c r="D138" s="557" t="n"/>
      <x:c r="E138" s="557" t="n"/>
      <x:c r="F138" s="562" t="n"/>
      <x:c r="G138" s="563" t="n"/>
      <x:c r="H138" s="564" t="str">
        <x:f>IF(OR(F138="",G138=""),"",F138*G138)</x:f>
      </x:c>
      <x:c r="I138" s="563" t="n"/>
      <x:c r="J138" s="557" t="n"/>
      <x:c r="K138" s="561" t="str">
        <x:f>IF(B138="","",IF(AND(B138="Phụ kiện khác",C138=""),"⚠ NHẬP TÊN PHỤ KIỆN",IF(C138="","⚠ NHẬP TÊN SẢN PHẨM","OK")))</x:f>
      </x:c>
      <x:c r="L138" s="627"/>
      <x:c r="M138" s="524"/>
      <x:c r="N138" s="524"/>
      <x:c r="O138" s="524"/>
    </x:row>
    <x:row r="139">
      <x:c r="A139" s="556" t="n"/>
      <x:c r="B139" s="557" t="n"/>
      <x:c r="C139" s="557" t="n"/>
      <x:c r="D139" s="557" t="n"/>
      <x:c r="E139" s="557" t="n"/>
      <x:c r="F139" s="562" t="n"/>
      <x:c r="G139" s="563" t="n"/>
      <x:c r="H139" s="564" t="str">
        <x:f>IF(OR(F139="",G139=""),"",F139*G139)</x:f>
      </x:c>
      <x:c r="I139" s="563" t="n"/>
      <x:c r="J139" s="557" t="n"/>
      <x:c r="K139" s="561" t="str">
        <x:f>IF(B139="","",IF(AND(B139="Phụ kiện khác",C139=""),"⚠ NHẬP TÊN PHỤ KIỆN",IF(C139="","⚠ NHẬP TÊN SẢN PHẨM","OK")))</x:f>
      </x:c>
      <x:c r="L139" s="627"/>
      <x:c r="M139" s="524"/>
      <x:c r="N139" s="524"/>
      <x:c r="O139" s="524"/>
    </x:row>
    <x:row r="140">
      <x:c r="A140" s="556" t="n"/>
      <x:c r="B140" s="557" t="n"/>
      <x:c r="C140" s="557" t="n"/>
      <x:c r="D140" s="557" t="n"/>
      <x:c r="E140" s="557" t="n"/>
      <x:c r="F140" s="562" t="n"/>
      <x:c r="G140" s="563" t="n"/>
      <x:c r="H140" s="564" t="str">
        <x:f>IF(OR(F140="",G140=""),"",F140*G140)</x:f>
      </x:c>
      <x:c r="I140" s="563" t="n"/>
      <x:c r="J140" s="557" t="n"/>
      <x:c r="K140" s="561" t="str">
        <x:f>IF(B140="","",IF(AND(B140="Phụ kiện khác",C140=""),"⚠ NHẬP TÊN PHỤ KIỆN",IF(C140="","⚠ NHẬP TÊN SẢN PHẨM","OK")))</x:f>
      </x:c>
      <x:c r="L140" s="627"/>
      <x:c r="M140" s="524"/>
      <x:c r="N140" s="524"/>
      <x:c r="O140" s="524"/>
    </x:row>
    <x:row r="141">
      <x:c r="A141" s="556" t="n"/>
      <x:c r="B141" s="557" t="n"/>
      <x:c r="C141" s="557" t="n"/>
      <x:c r="D141" s="557" t="n"/>
      <x:c r="E141" s="557" t="n"/>
      <x:c r="F141" s="562" t="n"/>
      <x:c r="G141" s="563" t="n"/>
      <x:c r="H141" s="564" t="str">
        <x:f>IF(OR(F141="",G141=""),"",F141*G141)</x:f>
      </x:c>
      <x:c r="I141" s="563" t="n"/>
      <x:c r="J141" s="557" t="n"/>
      <x:c r="K141" s="561" t="str">
        <x:f>IF(B141="","",IF(AND(B141="Phụ kiện khác",C141=""),"⚠ NHẬP TÊN PHỤ KIỆN",IF(C141="","⚠ NHẬP TÊN SẢN PHẨM","OK")))</x:f>
      </x:c>
      <x:c r="L141" s="627"/>
      <x:c r="M141" s="524"/>
      <x:c r="N141" s="524"/>
      <x:c r="O141" s="524"/>
    </x:row>
    <x:row r="142">
      <x:c r="A142" s="556" t="n"/>
      <x:c r="B142" s="557" t="n"/>
      <x:c r="C142" s="557" t="n"/>
      <x:c r="D142" s="557" t="n"/>
      <x:c r="E142" s="557" t="n"/>
      <x:c r="F142" s="562" t="n"/>
      <x:c r="G142" s="563" t="n"/>
      <x:c r="H142" s="564" t="str">
        <x:f>IF(OR(F142="",G142=""),"",F142*G142)</x:f>
      </x:c>
      <x:c r="I142" s="563" t="n"/>
      <x:c r="J142" s="557" t="n"/>
      <x:c r="K142" s="561" t="str">
        <x:f>IF(B142="","",IF(AND(B142="Phụ kiện khác",C142=""),"⚠ NHẬP TÊN PHỤ KIỆN",IF(C142="","⚠ NHẬP TÊN SẢN PHẨM","OK")))</x:f>
      </x:c>
      <x:c r="L142" s="627"/>
      <x:c r="M142" s="524"/>
      <x:c r="N142" s="524"/>
      <x:c r="O142" s="524"/>
    </x:row>
    <x:row r="143">
      <x:c r="A143" s="556" t="n"/>
      <x:c r="B143" s="557" t="n"/>
      <x:c r="C143" s="557" t="n"/>
      <x:c r="D143" s="557" t="n"/>
      <x:c r="E143" s="557" t="n"/>
      <x:c r="F143" s="562" t="n"/>
      <x:c r="G143" s="563" t="n"/>
      <x:c r="H143" s="564" t="str">
        <x:f>IF(OR(F143="",G143=""),"",F143*G143)</x:f>
      </x:c>
      <x:c r="I143" s="563" t="n"/>
      <x:c r="J143" s="557" t="n"/>
      <x:c r="K143" s="561" t="str">
        <x:f>IF(B143="","",IF(AND(B143="Phụ kiện khác",C143=""),"⚠ NHẬP TÊN PHỤ KIỆN",IF(C143="","⚠ NHẬP TÊN SẢN PHẨM","OK")))</x:f>
      </x:c>
      <x:c r="L143" s="627"/>
      <x:c r="M143" s="524"/>
      <x:c r="N143" s="524"/>
      <x:c r="O143" s="524"/>
    </x:row>
    <x:row r="144">
      <x:c r="A144" s="556" t="n"/>
      <x:c r="B144" s="557" t="n"/>
      <x:c r="C144" s="557" t="n"/>
      <x:c r="D144" s="557" t="n"/>
      <x:c r="E144" s="557" t="n"/>
      <x:c r="F144" s="562" t="n"/>
      <x:c r="G144" s="563" t="n"/>
      <x:c r="H144" s="564" t="str">
        <x:f>IF(OR(F144="",G144=""),"",F144*G144)</x:f>
      </x:c>
      <x:c r="I144" s="563" t="n"/>
      <x:c r="J144" s="557" t="n"/>
      <x:c r="K144" s="561" t="str">
        <x:f>IF(B144="","",IF(AND(B144="Phụ kiện khác",C144=""),"⚠ NHẬP TÊN PHỤ KIỆN",IF(C144="","⚠ NHẬP TÊN SẢN PHẨM","OK")))</x:f>
      </x:c>
      <x:c r="L144" s="627"/>
      <x:c r="M144" s="524"/>
      <x:c r="N144" s="524"/>
      <x:c r="O144" s="524"/>
    </x:row>
    <x:row r="145">
      <x:c r="A145" s="556" t="n"/>
      <x:c r="B145" s="557" t="n"/>
      <x:c r="C145" s="557" t="n"/>
      <x:c r="D145" s="557" t="n"/>
      <x:c r="E145" s="557" t="n"/>
      <x:c r="F145" s="562" t="n"/>
      <x:c r="G145" s="563" t="n"/>
      <x:c r="H145" s="564" t="str">
        <x:f>IF(OR(F145="",G145=""),"",F145*G145)</x:f>
      </x:c>
      <x:c r="I145" s="563" t="n"/>
      <x:c r="J145" s="557" t="n"/>
      <x:c r="K145" s="561" t="str">
        <x:f>IF(B145="","",IF(AND(B145="Phụ kiện khác",C145=""),"⚠ NHẬP TÊN PHỤ KIỆN",IF(C145="","⚠ NHẬP TÊN SẢN PHẨM","OK")))</x:f>
      </x:c>
      <x:c r="L145" s="627"/>
      <x:c r="M145" s="524"/>
      <x:c r="N145" s="524"/>
      <x:c r="O145" s="524"/>
    </x:row>
    <x:row r="146">
      <x:c r="A146" s="556" t="n"/>
      <x:c r="B146" s="557" t="n"/>
      <x:c r="C146" s="557" t="n"/>
      <x:c r="D146" s="557" t="n"/>
      <x:c r="E146" s="557" t="n"/>
      <x:c r="F146" s="562" t="n"/>
      <x:c r="G146" s="563" t="n"/>
      <x:c r="H146" s="564" t="str">
        <x:f>IF(OR(F146="",G146=""),"",F146*G146)</x:f>
      </x:c>
      <x:c r="I146" s="563" t="n"/>
      <x:c r="J146" s="557" t="n"/>
      <x:c r="K146" s="561" t="str">
        <x:f>IF(B146="","",IF(AND(B146="Phụ kiện khác",C146=""),"⚠ NHẬP TÊN PHỤ KIỆN",IF(C146="","⚠ NHẬP TÊN SẢN PHẨM","OK")))</x:f>
      </x:c>
      <x:c r="L146" s="627"/>
      <x:c r="M146" s="524"/>
      <x:c r="N146" s="524"/>
      <x:c r="O146" s="524"/>
    </x:row>
    <x:row r="147">
      <x:c r="A147" s="556" t="n"/>
      <x:c r="B147" s="557" t="n"/>
      <x:c r="C147" s="557" t="n"/>
      <x:c r="D147" s="557" t="n"/>
      <x:c r="E147" s="557" t="n"/>
      <x:c r="F147" s="562" t="n"/>
      <x:c r="G147" s="563" t="n"/>
      <x:c r="H147" s="564" t="str">
        <x:f>IF(OR(F147="",G147=""),"",F147*G147)</x:f>
      </x:c>
      <x:c r="I147" s="563" t="n"/>
      <x:c r="J147" s="557" t="n"/>
      <x:c r="K147" s="561" t="str">
        <x:f>IF(B147="","",IF(AND(B147="Phụ kiện khác",C147=""),"⚠ NHẬP TÊN PHỤ KIỆN",IF(C147="","⚠ NHẬP TÊN SẢN PHẨM","OK")))</x:f>
      </x:c>
      <x:c r="L147" s="627"/>
      <x:c r="M147" s="524"/>
      <x:c r="N147" s="524"/>
      <x:c r="O147" s="524"/>
    </x:row>
    <x:row r="148">
      <x:c r="A148" s="556" t="n"/>
      <x:c r="B148" s="557" t="n"/>
      <x:c r="C148" s="557" t="n"/>
      <x:c r="D148" s="557" t="n"/>
      <x:c r="E148" s="557" t="n"/>
      <x:c r="F148" s="562" t="n"/>
      <x:c r="G148" s="563" t="n"/>
      <x:c r="H148" s="564" t="str">
        <x:f>IF(OR(F148="",G148=""),"",F148*G148)</x:f>
      </x:c>
      <x:c r="I148" s="563" t="n"/>
      <x:c r="J148" s="557" t="n"/>
      <x:c r="K148" s="561" t="str">
        <x:f>IF(B148="","",IF(AND(B148="Phụ kiện khác",C148=""),"⚠ NHẬP TÊN PHỤ KIỆN",IF(C148="","⚠ NHẬP TÊN SẢN PHẨM","OK")))</x:f>
      </x:c>
      <x:c r="L148" s="627"/>
      <x:c r="M148" s="524"/>
      <x:c r="N148" s="524"/>
      <x:c r="O148" s="524"/>
    </x:row>
    <x:row r="149">
      <x:c r="A149" s="556" t="n"/>
      <x:c r="B149" s="557" t="n"/>
      <x:c r="C149" s="557" t="n"/>
      <x:c r="D149" s="557" t="n"/>
      <x:c r="E149" s="557" t="n"/>
      <x:c r="F149" s="562" t="n"/>
      <x:c r="G149" s="563" t="n"/>
      <x:c r="H149" s="564" t="str">
        <x:f>IF(OR(F149="",G149=""),"",F149*G149)</x:f>
      </x:c>
      <x:c r="I149" s="563" t="n"/>
      <x:c r="J149" s="557" t="n"/>
      <x:c r="K149" s="561" t="str">
        <x:f>IF(B149="","",IF(AND(B149="Phụ kiện khác",C149=""),"⚠ NHẬP TÊN PHỤ KIỆN",IF(C149="","⚠ NHẬP TÊN SẢN PHẨM","OK")))</x:f>
      </x:c>
      <x:c r="L149" s="627"/>
      <x:c r="M149" s="524"/>
      <x:c r="N149" s="524"/>
      <x:c r="O149" s="524"/>
    </x:row>
    <x:row r="150">
      <x:c r="A150" s="556" t="n"/>
      <x:c r="B150" s="557" t="n"/>
      <x:c r="C150" s="557" t="n"/>
      <x:c r="D150" s="557" t="n"/>
      <x:c r="E150" s="557" t="n"/>
      <x:c r="F150" s="562" t="n"/>
      <x:c r="G150" s="563" t="n"/>
      <x:c r="H150" s="564" t="str">
        <x:f>IF(OR(F150="",G150=""),"",F150*G150)</x:f>
      </x:c>
      <x:c r="I150" s="563" t="n"/>
      <x:c r="J150" s="557" t="n"/>
      <x:c r="K150" s="561" t="str">
        <x:f>IF(B150="","",IF(AND(B150="Phụ kiện khác",C150=""),"⚠ NHẬP TÊN PHỤ KIỆN",IF(C150="","⚠ NHẬP TÊN SẢN PHẨM","OK")))</x:f>
      </x:c>
      <x:c r="L150" s="627"/>
      <x:c r="M150" s="524"/>
      <x:c r="N150" s="524"/>
      <x:c r="O150" s="524"/>
    </x:row>
    <x:row r="151">
      <x:c r="A151" s="556" t="n"/>
      <x:c r="B151" s="557" t="n"/>
      <x:c r="C151" s="557" t="n"/>
      <x:c r="D151" s="557" t="n"/>
      <x:c r="E151" s="557" t="n"/>
      <x:c r="F151" s="562" t="n"/>
      <x:c r="G151" s="563" t="n"/>
      <x:c r="H151" s="564" t="str">
        <x:f>IF(OR(F151="",G151=""),"",F151*G151)</x:f>
      </x:c>
      <x:c r="I151" s="563" t="n"/>
      <x:c r="J151" s="557" t="n"/>
      <x:c r="K151" s="561" t="str">
        <x:f>IF(B151="","",IF(AND(B151="Phụ kiện khác",C151=""),"⚠ NHẬP TÊN PHỤ KIỆN",IF(C151="","⚠ NHẬP TÊN SẢN PHẨM","OK")))</x:f>
      </x:c>
      <x:c r="L151" s="627"/>
      <x:c r="M151" s="524"/>
      <x:c r="N151" s="524"/>
      <x:c r="O151" s="524"/>
    </x:row>
    <x:row r="152">
      <x:c r="A152" s="556" t="n"/>
      <x:c r="B152" s="557" t="n"/>
      <x:c r="C152" s="557" t="n"/>
      <x:c r="D152" s="557" t="n"/>
      <x:c r="E152" s="557" t="n"/>
      <x:c r="F152" s="562" t="n"/>
      <x:c r="G152" s="563" t="n"/>
      <x:c r="H152" s="564" t="str">
        <x:f>IF(OR(F152="",G152=""),"",F152*G152)</x:f>
      </x:c>
      <x:c r="I152" s="563" t="n"/>
      <x:c r="J152" s="557" t="n"/>
      <x:c r="K152" s="561" t="str">
        <x:f>IF(B152="","",IF(AND(B152="Phụ kiện khác",C152=""),"⚠ NHẬP TÊN PHỤ KIỆN",IF(C152="","⚠ NHẬP TÊN SẢN PHẨM","OK")))</x:f>
      </x:c>
      <x:c r="L152" s="627"/>
      <x:c r="M152" s="524"/>
      <x:c r="N152" s="524"/>
      <x:c r="O152" s="524"/>
    </x:row>
    <x:row r="153">
      <x:c r="A153" s="556" t="n"/>
      <x:c r="B153" s="557" t="n"/>
      <x:c r="C153" s="557" t="n"/>
      <x:c r="D153" s="557" t="n"/>
      <x:c r="E153" s="557" t="n"/>
      <x:c r="F153" s="562" t="n"/>
      <x:c r="G153" s="563" t="n"/>
      <x:c r="H153" s="564" t="str">
        <x:f>IF(OR(F153="",G153=""),"",F153*G153)</x:f>
      </x:c>
      <x:c r="I153" s="563" t="n"/>
      <x:c r="J153" s="557" t="n"/>
      <x:c r="K153" s="561" t="str">
        <x:f>IF(B153="","",IF(AND(B153="Phụ kiện khác",C153=""),"⚠ NHẬP TÊN PHỤ KIỆN",IF(C153="","⚠ NHẬP TÊN SẢN PHẨM","OK")))</x:f>
      </x:c>
      <x:c r="L153" s="627"/>
      <x:c r="M153" s="524"/>
      <x:c r="N153" s="524"/>
      <x:c r="O153" s="524"/>
    </x:row>
    <x:row r="154">
      <x:c r="A154" s="556" t="n"/>
      <x:c r="B154" s="557" t="n"/>
      <x:c r="C154" s="557" t="n"/>
      <x:c r="D154" s="557" t="n"/>
      <x:c r="E154" s="557" t="n"/>
      <x:c r="F154" s="562" t="n"/>
      <x:c r="G154" s="563" t="n"/>
      <x:c r="H154" s="564" t="str">
        <x:f>IF(OR(F154="",G154=""),"",F154*G154)</x:f>
      </x:c>
      <x:c r="I154" s="563" t="n"/>
      <x:c r="J154" s="557" t="n"/>
      <x:c r="K154" s="561" t="str">
        <x:f>IF(B154="","",IF(AND(B154="Phụ kiện khác",C154=""),"⚠ NHẬP TÊN PHỤ KIỆN",IF(C154="","⚠ NHẬP TÊN SẢN PHẨM","OK")))</x:f>
      </x:c>
      <x:c r="L154" s="627"/>
      <x:c r="M154" s="524"/>
      <x:c r="N154" s="524"/>
      <x:c r="O154" s="524"/>
    </x:row>
    <x:row r="155">
      <x:c r="A155" s="556" t="n"/>
      <x:c r="B155" s="557" t="n"/>
      <x:c r="C155" s="557" t="n"/>
      <x:c r="D155" s="557" t="n"/>
      <x:c r="E155" s="557" t="n"/>
      <x:c r="F155" s="562" t="n"/>
      <x:c r="G155" s="563" t="n"/>
      <x:c r="H155" s="564" t="str">
        <x:f>IF(OR(F155="",G155=""),"",F155*G155)</x:f>
      </x:c>
      <x:c r="I155" s="563" t="n"/>
      <x:c r="J155" s="557" t="n"/>
      <x:c r="K155" s="561" t="str">
        <x:f>IF(B155="","",IF(AND(B155="Phụ kiện khác",C155=""),"⚠ NHẬP TÊN PHỤ KIỆN",IF(C155="","⚠ NHẬP TÊN SẢN PHẨM","OK")))</x:f>
      </x:c>
      <x:c r="L155" s="627"/>
      <x:c r="M155" s="524"/>
      <x:c r="N155" s="524"/>
      <x:c r="O155" s="524"/>
    </x:row>
    <x:row r="156">
      <x:c r="A156" s="556" t="n"/>
      <x:c r="B156" s="557" t="n"/>
      <x:c r="C156" s="557" t="n"/>
      <x:c r="D156" s="557" t="n"/>
      <x:c r="E156" s="557" t="n"/>
      <x:c r="F156" s="562" t="n"/>
      <x:c r="G156" s="563" t="n"/>
      <x:c r="H156" s="564" t="str">
        <x:f>IF(OR(F156="",G156=""),"",F156*G156)</x:f>
      </x:c>
      <x:c r="I156" s="563" t="n"/>
      <x:c r="J156" s="557" t="n"/>
      <x:c r="K156" s="561" t="str">
        <x:f>IF(B156="","",IF(AND(B156="Phụ kiện khác",C156=""),"⚠ NHẬP TÊN PHỤ KIỆN",IF(C156="","⚠ NHẬP TÊN SẢN PHẨM","OK")))</x:f>
      </x:c>
      <x:c r="L156" s="627"/>
      <x:c r="M156" s="524"/>
      <x:c r="N156" s="524"/>
      <x:c r="O156" s="524"/>
    </x:row>
    <x:row r="157">
      <x:c r="A157" s="556" t="n"/>
      <x:c r="B157" s="557" t="n"/>
      <x:c r="C157" s="557" t="n"/>
      <x:c r="D157" s="557" t="n"/>
      <x:c r="E157" s="557" t="n"/>
      <x:c r="F157" s="562" t="n"/>
      <x:c r="G157" s="563" t="n"/>
      <x:c r="H157" s="564" t="str">
        <x:f>IF(OR(F157="",G157=""),"",F157*G157)</x:f>
      </x:c>
      <x:c r="I157" s="563" t="n"/>
      <x:c r="J157" s="557" t="n"/>
      <x:c r="K157" s="561" t="str">
        <x:f>IF(B157="","",IF(AND(B157="Phụ kiện khác",C157=""),"⚠ NHẬP TÊN PHỤ KIỆN",IF(C157="","⚠ NHẬP TÊN SẢN PHẨM","OK")))</x:f>
      </x:c>
      <x:c r="L157" s="627"/>
      <x:c r="M157" s="524"/>
      <x:c r="N157" s="524"/>
      <x:c r="O157" s="524"/>
    </x:row>
    <x:row r="158">
      <x:c r="A158" s="556" t="n"/>
      <x:c r="B158" s="557" t="n"/>
      <x:c r="C158" s="557" t="n"/>
      <x:c r="D158" s="557" t="n"/>
      <x:c r="E158" s="557" t="n"/>
      <x:c r="F158" s="562" t="n"/>
      <x:c r="G158" s="563" t="n"/>
      <x:c r="H158" s="564" t="str">
        <x:f>IF(OR(F158="",G158=""),"",F158*G158)</x:f>
      </x:c>
      <x:c r="I158" s="563" t="n"/>
      <x:c r="J158" s="557" t="n"/>
      <x:c r="K158" s="561" t="str">
        <x:f>IF(B158="","",IF(AND(B158="Phụ kiện khác",C158=""),"⚠ NHẬP TÊN PHỤ KIỆN",IF(C158="","⚠ NHẬP TÊN SẢN PHẨM","OK")))</x:f>
      </x:c>
      <x:c r="L158" s="627"/>
      <x:c r="M158" s="524"/>
      <x:c r="N158" s="524"/>
      <x:c r="O158" s="524"/>
    </x:row>
    <x:row r="159">
      <x:c r="A159" s="556" t="n"/>
      <x:c r="B159" s="557" t="n"/>
      <x:c r="C159" s="557" t="n"/>
      <x:c r="D159" s="557" t="n"/>
      <x:c r="E159" s="557" t="n"/>
      <x:c r="F159" s="562" t="n"/>
      <x:c r="G159" s="563" t="n"/>
      <x:c r="H159" s="564" t="str">
        <x:f>IF(OR(F159="",G159=""),"",F159*G159)</x:f>
      </x:c>
      <x:c r="I159" s="563" t="n"/>
      <x:c r="J159" s="557" t="n"/>
      <x:c r="K159" s="561" t="str">
        <x:f>IF(B159="","",IF(AND(B159="Phụ kiện khác",C159=""),"⚠ NHẬP TÊN PHỤ KIỆN",IF(C159="","⚠ NHẬP TÊN SẢN PHẨM","OK")))</x:f>
      </x:c>
      <x:c r="L159" s="627"/>
      <x:c r="M159" s="524"/>
      <x:c r="N159" s="524"/>
      <x:c r="O159" s="524"/>
    </x:row>
    <x:row r="160">
      <x:c r="A160" s="556" t="n"/>
      <x:c r="B160" s="557" t="n"/>
      <x:c r="C160" s="557" t="n"/>
      <x:c r="D160" s="557" t="n"/>
      <x:c r="E160" s="557" t="n"/>
      <x:c r="F160" s="562" t="n"/>
      <x:c r="G160" s="563" t="n"/>
      <x:c r="H160" s="564" t="str">
        <x:f>IF(OR(F160="",G160=""),"",F160*G160)</x:f>
      </x:c>
      <x:c r="I160" s="563" t="n"/>
      <x:c r="J160" s="557" t="n"/>
      <x:c r="K160" s="561" t="str">
        <x:f>IF(B160="","",IF(AND(B160="Phụ kiện khác",C160=""),"⚠ NHẬP TÊN PHỤ KIỆN",IF(C160="","⚠ NHẬP TÊN SẢN PHẨM","OK")))</x:f>
      </x:c>
      <x:c r="L160" s="627"/>
      <x:c r="M160" s="524"/>
      <x:c r="N160" s="524"/>
      <x:c r="O160" s="524"/>
    </x:row>
    <x:row r="161">
      <x:c r="A161" s="556" t="n"/>
      <x:c r="B161" s="557" t="n"/>
      <x:c r="C161" s="557" t="n"/>
      <x:c r="D161" s="557" t="n"/>
      <x:c r="E161" s="557" t="n"/>
      <x:c r="F161" s="562" t="n"/>
      <x:c r="G161" s="563" t="n"/>
      <x:c r="H161" s="564" t="str">
        <x:f>IF(OR(F161="",G161=""),"",F161*G161)</x:f>
      </x:c>
      <x:c r="I161" s="563" t="n"/>
      <x:c r="J161" s="557" t="n"/>
      <x:c r="K161" s="561" t="str">
        <x:f>IF(B161="","",IF(AND(B161="Phụ kiện khác",C161=""),"⚠ NHẬP TÊN PHỤ KIỆN",IF(C161="","⚠ NHẬP TÊN SẢN PHẨM","OK")))</x:f>
      </x:c>
      <x:c r="L161" s="627"/>
      <x:c r="M161" s="524"/>
      <x:c r="N161" s="524"/>
      <x:c r="O161" s="524"/>
    </x:row>
    <x:row r="162">
      <x:c r="A162" s="556" t="n"/>
      <x:c r="B162" s="557" t="n"/>
      <x:c r="C162" s="557" t="n"/>
      <x:c r="D162" s="557" t="n"/>
      <x:c r="E162" s="557" t="n"/>
      <x:c r="F162" s="562" t="n"/>
      <x:c r="G162" s="563" t="n"/>
      <x:c r="H162" s="564" t="str">
        <x:f>IF(OR(F162="",G162=""),"",F162*G162)</x:f>
      </x:c>
      <x:c r="I162" s="563" t="n"/>
      <x:c r="J162" s="557" t="n"/>
      <x:c r="K162" s="561" t="str">
        <x:f>IF(B162="","",IF(AND(B162="Phụ kiện khác",C162=""),"⚠ NHẬP TÊN PHỤ KIỆN",IF(C162="","⚠ NHẬP TÊN SẢN PHẨM","OK")))</x:f>
      </x:c>
      <x:c r="L162" s="627"/>
      <x:c r="M162" s="524"/>
      <x:c r="N162" s="524"/>
      <x:c r="O162" s="524"/>
    </x:row>
    <x:row r="163">
      <x:c r="A163" s="556" t="n"/>
      <x:c r="B163" s="557" t="n"/>
      <x:c r="C163" s="557" t="n"/>
      <x:c r="D163" s="557" t="n"/>
      <x:c r="E163" s="557" t="n"/>
      <x:c r="F163" s="562" t="n"/>
      <x:c r="G163" s="563" t="n"/>
      <x:c r="H163" s="564" t="str">
        <x:f>IF(OR(F163="",G163=""),"",F163*G163)</x:f>
      </x:c>
      <x:c r="I163" s="563" t="n"/>
      <x:c r="J163" s="557" t="n"/>
      <x:c r="K163" s="561" t="str">
        <x:f>IF(B163="","",IF(AND(B163="Phụ kiện khác",C163=""),"⚠ NHẬP TÊN PHỤ KIỆN",IF(C163="","⚠ NHẬP TÊN SẢN PHẨM","OK")))</x:f>
      </x:c>
      <x:c r="L163" s="627"/>
      <x:c r="M163" s="524"/>
      <x:c r="N163" s="524"/>
      <x:c r="O163" s="524"/>
    </x:row>
    <x:row r="164">
      <x:c r="A164" s="556" t="n"/>
      <x:c r="B164" s="557" t="n"/>
      <x:c r="C164" s="557" t="n"/>
      <x:c r="D164" s="557" t="n"/>
      <x:c r="E164" s="557" t="n"/>
      <x:c r="F164" s="562" t="n"/>
      <x:c r="G164" s="563" t="n"/>
      <x:c r="H164" s="564" t="str">
        <x:f>IF(OR(F164="",G164=""),"",F164*G164)</x:f>
      </x:c>
      <x:c r="I164" s="563" t="n"/>
      <x:c r="J164" s="557" t="n"/>
      <x:c r="K164" s="561" t="str">
        <x:f>IF(B164="","",IF(AND(B164="Phụ kiện khác",C164=""),"⚠ NHẬP TÊN PHỤ KIỆN",IF(C164="","⚠ NHẬP TÊN SẢN PHẨM","OK")))</x:f>
      </x:c>
      <x:c r="L164" s="627"/>
      <x:c r="M164" s="524"/>
      <x:c r="N164" s="524"/>
      <x:c r="O164" s="524"/>
    </x:row>
    <x:row r="165">
      <x:c r="A165" s="556" t="n"/>
      <x:c r="B165" s="557" t="n"/>
      <x:c r="C165" s="557" t="n"/>
      <x:c r="D165" s="557" t="n"/>
      <x:c r="E165" s="557" t="n"/>
      <x:c r="F165" s="562" t="n"/>
      <x:c r="G165" s="563" t="n"/>
      <x:c r="H165" s="564" t="str">
        <x:f>IF(OR(F165="",G165=""),"",F165*G165)</x:f>
      </x:c>
      <x:c r="I165" s="563" t="n"/>
      <x:c r="J165" s="557" t="n"/>
      <x:c r="K165" s="561" t="str">
        <x:f>IF(B165="","",IF(AND(B165="Phụ kiện khác",C165=""),"⚠ NHẬP TÊN PHỤ KIỆN",IF(C165="","⚠ NHẬP TÊN SẢN PHẨM","OK")))</x:f>
      </x:c>
      <x:c r="L165" s="627"/>
      <x:c r="M165" s="524"/>
      <x:c r="N165" s="524"/>
      <x:c r="O165" s="524"/>
    </x:row>
    <x:row r="166">
      <x:c r="A166" s="556" t="n"/>
      <x:c r="B166" s="557" t="n"/>
      <x:c r="C166" s="557" t="n"/>
      <x:c r="D166" s="557" t="n"/>
      <x:c r="E166" s="557" t="n"/>
      <x:c r="F166" s="562" t="n"/>
      <x:c r="G166" s="563" t="n"/>
      <x:c r="H166" s="564" t="str">
        <x:f>IF(OR(F166="",G166=""),"",F166*G166)</x:f>
      </x:c>
      <x:c r="I166" s="563" t="n"/>
      <x:c r="J166" s="557" t="n"/>
      <x:c r="K166" s="561" t="str">
        <x:f>IF(B166="","",IF(AND(B166="Phụ kiện khác",C166=""),"⚠ NHẬP TÊN PHỤ KIỆN",IF(C166="","⚠ NHẬP TÊN SẢN PHẨM","OK")))</x:f>
      </x:c>
      <x:c r="L166" s="627"/>
      <x:c r="M166" s="524"/>
      <x:c r="N166" s="524"/>
      <x:c r="O166" s="524"/>
    </x:row>
    <x:row r="167">
      <x:c r="A167" s="556" t="n"/>
      <x:c r="B167" s="557" t="n"/>
      <x:c r="C167" s="557" t="n"/>
      <x:c r="D167" s="557" t="n"/>
      <x:c r="E167" s="557" t="n"/>
      <x:c r="F167" s="562" t="n"/>
      <x:c r="G167" s="563" t="n"/>
      <x:c r="H167" s="564" t="str">
        <x:f>IF(OR(F167="",G167=""),"",F167*G167)</x:f>
      </x:c>
      <x:c r="I167" s="563" t="n"/>
      <x:c r="J167" s="557" t="n"/>
      <x:c r="K167" s="561" t="str">
        <x:f>IF(B167="","",IF(AND(B167="Phụ kiện khác",C167=""),"⚠ NHẬP TÊN PHỤ KIỆN",IF(C167="","⚠ NHẬP TÊN SẢN PHẨM","OK")))</x:f>
      </x:c>
      <x:c r="L167" s="627"/>
      <x:c r="M167" s="524"/>
      <x:c r="N167" s="524"/>
      <x:c r="O167" s="524"/>
    </x:row>
    <x:row r="168">
      <x:c r="A168" s="556" t="n"/>
      <x:c r="B168" s="557" t="n"/>
      <x:c r="C168" s="557" t="n"/>
      <x:c r="D168" s="557" t="n"/>
      <x:c r="E168" s="557" t="n"/>
      <x:c r="F168" s="562" t="n"/>
      <x:c r="G168" s="563" t="n"/>
      <x:c r="H168" s="564" t="str">
        <x:f>IF(OR(F168="",G168=""),"",F168*G168)</x:f>
      </x:c>
      <x:c r="I168" s="563" t="n"/>
      <x:c r="J168" s="557" t="n"/>
      <x:c r="K168" s="561" t="str">
        <x:f>IF(B168="","",IF(AND(B168="Phụ kiện khác",C168=""),"⚠ NHẬP TÊN PHỤ KIỆN",IF(C168="","⚠ NHẬP TÊN SẢN PHẨM","OK")))</x:f>
      </x:c>
      <x:c r="L168" s="627"/>
      <x:c r="M168" s="524"/>
      <x:c r="N168" s="524"/>
      <x:c r="O168" s="524"/>
    </x:row>
    <x:row r="169">
      <x:c r="A169" s="556" t="n"/>
      <x:c r="B169" s="557" t="n"/>
      <x:c r="C169" s="557" t="n"/>
      <x:c r="D169" s="557" t="n"/>
      <x:c r="E169" s="557" t="n"/>
      <x:c r="F169" s="562" t="n"/>
      <x:c r="G169" s="563" t="n"/>
      <x:c r="H169" s="564" t="str">
        <x:f>IF(OR(F169="",G169=""),"",F169*G169)</x:f>
      </x:c>
      <x:c r="I169" s="563" t="n"/>
      <x:c r="J169" s="557" t="n"/>
      <x:c r="K169" s="561" t="str">
        <x:f>IF(B169="","",IF(AND(B169="Phụ kiện khác",C169=""),"⚠ NHẬP TÊN PHỤ KIỆN",IF(C169="","⚠ NHẬP TÊN SẢN PHẨM","OK")))</x:f>
      </x:c>
      <x:c r="L169" s="627"/>
      <x:c r="M169" s="524"/>
      <x:c r="N169" s="524"/>
      <x:c r="O169" s="524"/>
    </x:row>
    <x:row r="170">
      <x:c r="A170" s="556" t="n"/>
      <x:c r="B170" s="557" t="n"/>
      <x:c r="C170" s="557" t="n"/>
      <x:c r="D170" s="557" t="n"/>
      <x:c r="E170" s="557" t="n"/>
      <x:c r="F170" s="562" t="n"/>
      <x:c r="G170" s="563" t="n"/>
      <x:c r="H170" s="564" t="str">
        <x:f>IF(OR(F170="",G170=""),"",F170*G170)</x:f>
      </x:c>
      <x:c r="I170" s="563" t="n"/>
      <x:c r="J170" s="557" t="n"/>
      <x:c r="K170" s="561" t="str">
        <x:f>IF(B170="","",IF(AND(B170="Phụ kiện khác",C170=""),"⚠ NHẬP TÊN PHỤ KIỆN",IF(C170="","⚠ NHẬP TÊN SẢN PHẨM","OK")))</x:f>
      </x:c>
      <x:c r="L170" s="627"/>
      <x:c r="M170" s="524"/>
      <x:c r="N170" s="524"/>
      <x:c r="O170" s="524"/>
    </x:row>
    <x:row r="171">
      <x:c r="A171" s="556" t="n"/>
      <x:c r="B171" s="557" t="n"/>
      <x:c r="C171" s="557" t="n"/>
      <x:c r="D171" s="557" t="n"/>
      <x:c r="E171" s="557" t="n"/>
      <x:c r="F171" s="562" t="n"/>
      <x:c r="G171" s="563" t="n"/>
      <x:c r="H171" s="564" t="str">
        <x:f>IF(OR(F171="",G171=""),"",F171*G171)</x:f>
      </x:c>
      <x:c r="I171" s="563" t="n"/>
      <x:c r="J171" s="557" t="n"/>
      <x:c r="K171" s="561" t="str">
        <x:f>IF(B171="","",IF(AND(B171="Phụ kiện khác",C171=""),"⚠ NHẬP TÊN PHỤ KIỆN",IF(C171="","⚠ NHẬP TÊN SẢN PHẨM","OK")))</x:f>
      </x:c>
      <x:c r="L171" s="627"/>
      <x:c r="M171" s="524"/>
      <x:c r="N171" s="524"/>
      <x:c r="O171" s="524"/>
    </x:row>
    <x:row r="172">
      <x:c r="A172" s="556" t="n"/>
      <x:c r="B172" s="557" t="n"/>
      <x:c r="C172" s="557" t="n"/>
      <x:c r="D172" s="557" t="n"/>
      <x:c r="E172" s="557" t="n"/>
      <x:c r="F172" s="562" t="n"/>
      <x:c r="G172" s="563" t="n"/>
      <x:c r="H172" s="564" t="str">
        <x:f>IF(OR(F172="",G172=""),"",F172*G172)</x:f>
      </x:c>
      <x:c r="I172" s="563" t="n"/>
      <x:c r="J172" s="557" t="n"/>
      <x:c r="K172" s="561" t="str">
        <x:f>IF(B172="","",IF(AND(B172="Phụ kiện khác",C172=""),"⚠ NHẬP TÊN PHỤ KIỆN",IF(C172="","⚠ NHẬP TÊN SẢN PHẨM","OK")))</x:f>
      </x:c>
      <x:c r="L172" s="627"/>
      <x:c r="M172" s="524"/>
      <x:c r="N172" s="524"/>
      <x:c r="O172" s="524"/>
    </x:row>
    <x:row r="173">
      <x:c r="A173" s="556" t="n"/>
      <x:c r="B173" s="557" t="n"/>
      <x:c r="C173" s="557" t="n"/>
      <x:c r="D173" s="557" t="n"/>
      <x:c r="E173" s="557" t="n"/>
      <x:c r="F173" s="562" t="n"/>
      <x:c r="G173" s="563" t="n"/>
      <x:c r="H173" s="564" t="str">
        <x:f>IF(OR(F173="",G173=""),"",F173*G173)</x:f>
      </x:c>
      <x:c r="I173" s="563" t="n"/>
      <x:c r="J173" s="557" t="n"/>
      <x:c r="K173" s="561" t="str">
        <x:f>IF(B173="","",IF(AND(B173="Phụ kiện khác",C173=""),"⚠ NHẬP TÊN PHỤ KIỆN",IF(C173="","⚠ NHẬP TÊN SẢN PHẨM","OK")))</x:f>
      </x:c>
      <x:c r="L173" s="627"/>
      <x:c r="M173" s="524"/>
      <x:c r="N173" s="524"/>
      <x:c r="O173" s="524"/>
    </x:row>
    <x:row r="174">
      <x:c r="A174" s="556" t="n"/>
      <x:c r="B174" s="557" t="n"/>
      <x:c r="C174" s="557" t="n"/>
      <x:c r="D174" s="557" t="n"/>
      <x:c r="E174" s="557" t="n"/>
      <x:c r="F174" s="562" t="n"/>
      <x:c r="G174" s="563" t="n"/>
      <x:c r="H174" s="564" t="str">
        <x:f>IF(OR(F174="",G174=""),"",F174*G174)</x:f>
      </x:c>
      <x:c r="I174" s="563" t="n"/>
      <x:c r="J174" s="557" t="n"/>
      <x:c r="K174" s="561" t="str">
        <x:f>IF(B174="","",IF(AND(B174="Phụ kiện khác",C174=""),"⚠ NHẬP TÊN PHỤ KIỆN",IF(C174="","⚠ NHẬP TÊN SẢN PHẨM","OK")))</x:f>
      </x:c>
      <x:c r="L174" s="627"/>
      <x:c r="M174" s="524"/>
      <x:c r="N174" s="524"/>
      <x:c r="O174" s="524"/>
    </x:row>
    <x:row r="175">
      <x:c r="A175" s="556" t="n"/>
      <x:c r="B175" s="557" t="n"/>
      <x:c r="C175" s="557" t="n"/>
      <x:c r="D175" s="557" t="n"/>
      <x:c r="E175" s="557" t="n"/>
      <x:c r="F175" s="562" t="n"/>
      <x:c r="G175" s="563" t="n"/>
      <x:c r="H175" s="564" t="str">
        <x:f>IF(OR(F175="",G175=""),"",F175*G175)</x:f>
      </x:c>
      <x:c r="I175" s="563" t="n"/>
      <x:c r="J175" s="557" t="n"/>
      <x:c r="K175" s="561" t="str">
        <x:f>IF(B175="","",IF(AND(B175="Phụ kiện khác",C175=""),"⚠ NHẬP TÊN PHỤ KIỆN",IF(C175="","⚠ NHẬP TÊN SẢN PHẨM","OK")))</x:f>
      </x:c>
      <x:c r="L175" s="627"/>
      <x:c r="M175" s="524"/>
      <x:c r="N175" s="524"/>
      <x:c r="O175" s="524"/>
    </x:row>
    <x:row r="176">
      <x:c r="A176" s="556" t="n"/>
      <x:c r="B176" s="557" t="n"/>
      <x:c r="C176" s="557" t="n"/>
      <x:c r="D176" s="557" t="n"/>
      <x:c r="E176" s="557" t="n"/>
      <x:c r="F176" s="562" t="n"/>
      <x:c r="G176" s="563" t="n"/>
      <x:c r="H176" s="564" t="str">
        <x:f>IF(OR(F176="",G176=""),"",F176*G176)</x:f>
      </x:c>
      <x:c r="I176" s="563" t="n"/>
      <x:c r="J176" s="557" t="n"/>
      <x:c r="K176" s="561" t="str">
        <x:f>IF(B176="","",IF(AND(B176="Phụ kiện khác",C176=""),"⚠ NHẬP TÊN PHỤ KIỆN",IF(C176="","⚠ NHẬP TÊN SẢN PHẨM","OK")))</x:f>
      </x:c>
      <x:c r="L176" s="627"/>
      <x:c r="M176" s="524"/>
      <x:c r="N176" s="524"/>
      <x:c r="O176" s="524"/>
    </x:row>
    <x:row r="177">
      <x:c r="A177" s="556" t="n"/>
      <x:c r="B177" s="557" t="n"/>
      <x:c r="C177" s="557" t="n"/>
      <x:c r="D177" s="557" t="n"/>
      <x:c r="E177" s="557" t="n"/>
      <x:c r="F177" s="562" t="n"/>
      <x:c r="G177" s="563" t="n"/>
      <x:c r="H177" s="564" t="str">
        <x:f>IF(OR(F177="",G177=""),"",F177*G177)</x:f>
      </x:c>
      <x:c r="I177" s="563" t="n"/>
      <x:c r="J177" s="557" t="n"/>
      <x:c r="K177" s="561" t="str">
        <x:f>IF(B177="","",IF(AND(B177="Phụ kiện khác",C177=""),"⚠ NHẬP TÊN PHỤ KIỆN",IF(C177="","⚠ NHẬP TÊN SẢN PHẨM","OK")))</x:f>
      </x:c>
      <x:c r="L177" s="627"/>
      <x:c r="M177" s="524"/>
      <x:c r="N177" s="524"/>
      <x:c r="O177" s="524"/>
    </x:row>
    <x:row r="178">
      <x:c r="A178" s="556" t="n"/>
      <x:c r="B178" s="557" t="n"/>
      <x:c r="C178" s="557" t="n"/>
      <x:c r="D178" s="557" t="n"/>
      <x:c r="E178" s="557" t="n"/>
      <x:c r="F178" s="562" t="n"/>
      <x:c r="G178" s="563" t="n"/>
      <x:c r="H178" s="564" t="str">
        <x:f>IF(OR(F178="",G178=""),"",F178*G178)</x:f>
      </x:c>
      <x:c r="I178" s="563" t="n"/>
      <x:c r="J178" s="557" t="n"/>
      <x:c r="K178" s="561" t="str">
        <x:f>IF(B178="","",IF(AND(B178="Phụ kiện khác",C178=""),"⚠ NHẬP TÊN PHỤ KIỆN",IF(C178="","⚠ NHẬP TÊN SẢN PHẨM","OK")))</x:f>
      </x:c>
      <x:c r="L178" s="627"/>
      <x:c r="M178" s="524"/>
      <x:c r="N178" s="524"/>
      <x:c r="O178" s="524"/>
    </x:row>
    <x:row r="179">
      <x:c r="A179" s="556" t="n"/>
      <x:c r="B179" s="557" t="n"/>
      <x:c r="C179" s="557" t="n"/>
      <x:c r="D179" s="557" t="n"/>
      <x:c r="E179" s="557" t="n"/>
      <x:c r="F179" s="562" t="n"/>
      <x:c r="G179" s="563" t="n"/>
      <x:c r="H179" s="564" t="str">
        <x:f>IF(OR(F179="",G179=""),"",F179*G179)</x:f>
      </x:c>
      <x:c r="I179" s="563" t="n"/>
      <x:c r="J179" s="557" t="n"/>
      <x:c r="K179" s="561" t="str">
        <x:f>IF(B179="","",IF(AND(B179="Phụ kiện khác",C179=""),"⚠ NHẬP TÊN PHỤ KIỆN",IF(C179="","⚠ NHẬP TÊN SẢN PHẨM","OK")))</x:f>
      </x:c>
      <x:c r="L179" s="627"/>
      <x:c r="M179" s="524"/>
      <x:c r="N179" s="524"/>
      <x:c r="O179" s="524"/>
    </x:row>
    <x:row r="180">
      <x:c r="A180" s="556" t="n"/>
      <x:c r="B180" s="557" t="n"/>
      <x:c r="C180" s="557" t="n"/>
      <x:c r="D180" s="557" t="n"/>
      <x:c r="E180" s="557" t="n"/>
      <x:c r="F180" s="562" t="n"/>
      <x:c r="G180" s="563" t="n"/>
      <x:c r="H180" s="564" t="str">
        <x:f>IF(OR(F180="",G180=""),"",F180*G180)</x:f>
      </x:c>
      <x:c r="I180" s="563" t="n"/>
      <x:c r="J180" s="557" t="n"/>
      <x:c r="K180" s="561" t="str">
        <x:f>IF(B180="","",IF(AND(B180="Phụ kiện khác",C180=""),"⚠ NHẬP TÊN PHỤ KIỆN",IF(C180="","⚠ NHẬP TÊN SẢN PHẨM","OK")))</x:f>
      </x:c>
      <x:c r="L180" s="627"/>
      <x:c r="M180" s="524"/>
      <x:c r="N180" s="524"/>
      <x:c r="O180" s="524"/>
    </x:row>
    <x:row r="181">
      <x:c r="A181" s="556" t="n"/>
      <x:c r="B181" s="557" t="n"/>
      <x:c r="C181" s="557" t="n"/>
      <x:c r="D181" s="557" t="n"/>
      <x:c r="E181" s="557" t="n"/>
      <x:c r="F181" s="562" t="n"/>
      <x:c r="G181" s="563" t="n"/>
      <x:c r="H181" s="564" t="str">
        <x:f>IF(OR(F181="",G181=""),"",F181*G181)</x:f>
      </x:c>
      <x:c r="I181" s="563" t="n"/>
      <x:c r="J181" s="557" t="n"/>
      <x:c r="K181" s="561" t="str">
        <x:f>IF(B181="","",IF(AND(B181="Phụ kiện khác",C181=""),"⚠ NHẬP TÊN PHỤ KIỆN",IF(C181="","⚠ NHẬP TÊN SẢN PHẨM","OK")))</x:f>
      </x:c>
      <x:c r="L181" s="627"/>
      <x:c r="M181" s="524"/>
      <x:c r="N181" s="524"/>
      <x:c r="O181" s="524"/>
    </x:row>
    <x:row r="182">
      <x:c r="A182" s="556" t="n"/>
      <x:c r="B182" s="557" t="n"/>
      <x:c r="C182" s="557" t="n"/>
      <x:c r="D182" s="557" t="n"/>
      <x:c r="E182" s="557" t="n"/>
      <x:c r="F182" s="562" t="n"/>
      <x:c r="G182" s="563" t="n"/>
      <x:c r="H182" s="564" t="str">
        <x:f>IF(OR(F182="",G182=""),"",F182*G182)</x:f>
      </x:c>
      <x:c r="I182" s="563" t="n"/>
      <x:c r="J182" s="557" t="n"/>
      <x:c r="K182" s="561" t="str">
        <x:f>IF(B182="","",IF(AND(B182="Phụ kiện khác",C182=""),"⚠ NHẬP TÊN PHỤ KIỆN",IF(C182="","⚠ NHẬP TÊN SẢN PHẨM","OK")))</x:f>
      </x:c>
      <x:c r="L182" s="627"/>
      <x:c r="M182" s="524"/>
      <x:c r="N182" s="524"/>
      <x:c r="O182" s="524"/>
    </x:row>
    <x:row r="183">
      <x:c r="A183" s="556" t="n"/>
      <x:c r="B183" s="557" t="n"/>
      <x:c r="C183" s="557" t="n"/>
      <x:c r="D183" s="557" t="n"/>
      <x:c r="E183" s="557" t="n"/>
      <x:c r="F183" s="562" t="n"/>
      <x:c r="G183" s="563" t="n"/>
      <x:c r="H183" s="564" t="str">
        <x:f>IF(OR(F183="",G183=""),"",F183*G183)</x:f>
      </x:c>
      <x:c r="I183" s="563" t="n"/>
      <x:c r="J183" s="557" t="n"/>
      <x:c r="K183" s="561" t="str">
        <x:f>IF(B183="","",IF(AND(B183="Phụ kiện khác",C183=""),"⚠ NHẬP TÊN PHỤ KIỆN",IF(C183="","⚠ NHẬP TÊN SẢN PHẨM","OK")))</x:f>
      </x:c>
      <x:c r="L183" s="627"/>
      <x:c r="M183" s="524"/>
      <x:c r="N183" s="524"/>
      <x:c r="O183" s="524"/>
    </x:row>
    <x:row r="184">
      <x:c r="A184" s="556" t="n"/>
      <x:c r="B184" s="557" t="n"/>
      <x:c r="C184" s="557" t="n"/>
      <x:c r="D184" s="557" t="n"/>
      <x:c r="E184" s="557" t="n"/>
      <x:c r="F184" s="562" t="n"/>
      <x:c r="G184" s="563" t="n"/>
      <x:c r="H184" s="564" t="str">
        <x:f>IF(OR(F184="",G184=""),"",F184*G184)</x:f>
      </x:c>
      <x:c r="I184" s="563" t="n"/>
      <x:c r="J184" s="557" t="n"/>
      <x:c r="K184" s="561" t="str">
        <x:f>IF(B184="","",IF(AND(B184="Phụ kiện khác",C184=""),"⚠ NHẬP TÊN PHỤ KIỆN",IF(C184="","⚠ NHẬP TÊN SẢN PHẨM","OK")))</x:f>
      </x:c>
      <x:c r="L184" s="627"/>
      <x:c r="M184" s="524"/>
      <x:c r="N184" s="524"/>
      <x:c r="O184" s="524"/>
    </x:row>
    <x:row r="185">
      <x:c r="A185" s="556" t="n"/>
      <x:c r="B185" s="557" t="n"/>
      <x:c r="C185" s="557" t="n"/>
      <x:c r="D185" s="557" t="n"/>
      <x:c r="E185" s="557" t="n"/>
      <x:c r="F185" s="562" t="n"/>
      <x:c r="G185" s="563" t="n"/>
      <x:c r="H185" s="564" t="str">
        <x:f>IF(OR(F185="",G185=""),"",F185*G185)</x:f>
      </x:c>
      <x:c r="I185" s="563" t="n"/>
      <x:c r="J185" s="557" t="n"/>
      <x:c r="K185" s="561" t="str">
        <x:f>IF(B185="","",IF(AND(B185="Phụ kiện khác",C185=""),"⚠ NHẬP TÊN PHỤ KIỆN",IF(C185="","⚠ NHẬP TÊN SẢN PHẨM","OK")))</x:f>
      </x:c>
      <x:c r="L185" s="627"/>
      <x:c r="M185" s="524"/>
      <x:c r="N185" s="524"/>
      <x:c r="O185" s="524"/>
    </x:row>
    <x:row r="186">
      <x:c r="A186" s="556" t="n"/>
      <x:c r="B186" s="557" t="n"/>
      <x:c r="C186" s="557" t="n"/>
      <x:c r="D186" s="557" t="n"/>
      <x:c r="E186" s="557" t="n"/>
      <x:c r="F186" s="562" t="n"/>
      <x:c r="G186" s="563" t="n"/>
      <x:c r="H186" s="564" t="str">
        <x:f>IF(OR(F186="",G186=""),"",F186*G186)</x:f>
      </x:c>
      <x:c r="I186" s="563" t="n"/>
      <x:c r="J186" s="557" t="n"/>
      <x:c r="K186" s="561" t="str">
        <x:f>IF(B186="","",IF(AND(B186="Phụ kiện khác",C186=""),"⚠ NHẬP TÊN PHỤ KIỆN",IF(C186="","⚠ NHẬP TÊN SẢN PHẨM","OK")))</x:f>
      </x:c>
      <x:c r="L186" s="627"/>
      <x:c r="M186" s="524"/>
      <x:c r="N186" s="524"/>
      <x:c r="O186" s="524"/>
    </x:row>
    <x:row r="187">
      <x:c r="A187" s="556" t="n"/>
      <x:c r="B187" s="557" t="n"/>
      <x:c r="C187" s="557" t="n"/>
      <x:c r="D187" s="557" t="n"/>
      <x:c r="E187" s="557" t="n"/>
      <x:c r="F187" s="562" t="n"/>
      <x:c r="G187" s="563" t="n"/>
      <x:c r="H187" s="564" t="str">
        <x:f>IF(OR(F187="",G187=""),"",F187*G187)</x:f>
      </x:c>
      <x:c r="I187" s="563" t="n"/>
      <x:c r="J187" s="557" t="n"/>
      <x:c r="K187" s="561" t="str">
        <x:f>IF(B187="","",IF(AND(B187="Phụ kiện khác",C187=""),"⚠ NHẬP TÊN PHỤ KIỆN",IF(C187="","⚠ NHẬP TÊN SẢN PHẨM","OK")))</x:f>
      </x:c>
      <x:c r="L187" s="627"/>
      <x:c r="M187" s="524"/>
      <x:c r="N187" s="524"/>
      <x:c r="O187" s="524"/>
    </x:row>
    <x:row r="188">
      <x:c r="A188" s="556" t="n"/>
      <x:c r="B188" s="557" t="n"/>
      <x:c r="C188" s="557" t="n"/>
      <x:c r="D188" s="557" t="n"/>
      <x:c r="E188" s="557" t="n"/>
      <x:c r="F188" s="562" t="n"/>
      <x:c r="G188" s="563" t="n"/>
      <x:c r="H188" s="564" t="str">
        <x:f>IF(OR(F188="",G188=""),"",F188*G188)</x:f>
      </x:c>
      <x:c r="I188" s="563" t="n"/>
      <x:c r="J188" s="557" t="n"/>
      <x:c r="K188" s="561" t="str">
        <x:f>IF(B188="","",IF(AND(B188="Phụ kiện khác",C188=""),"⚠ NHẬP TÊN PHỤ KIỆN",IF(C188="","⚠ NHẬP TÊN SẢN PHẨM","OK")))</x:f>
      </x:c>
      <x:c r="L188" s="627"/>
      <x:c r="M188" s="524"/>
      <x:c r="N188" s="524"/>
      <x:c r="O188" s="524"/>
    </x:row>
    <x:row r="189">
      <x:c r="A189" s="556" t="n"/>
      <x:c r="B189" s="557" t="n"/>
      <x:c r="C189" s="557" t="n"/>
      <x:c r="D189" s="557" t="n"/>
      <x:c r="E189" s="557" t="n"/>
      <x:c r="F189" s="562" t="n"/>
      <x:c r="G189" s="563" t="n"/>
      <x:c r="H189" s="564" t="str">
        <x:f>IF(OR(F189="",G189=""),"",F189*G189)</x:f>
      </x:c>
      <x:c r="I189" s="563" t="n"/>
      <x:c r="J189" s="557" t="n"/>
      <x:c r="K189" s="561" t="str">
        <x:f>IF(B189="","",IF(AND(B189="Phụ kiện khác",C189=""),"⚠ NHẬP TÊN PHỤ KIỆN",IF(C189="","⚠ NHẬP TÊN SẢN PHẨM","OK")))</x:f>
      </x:c>
      <x:c r="L189" s="627"/>
      <x:c r="M189" s="524"/>
      <x:c r="N189" s="524"/>
      <x:c r="O189" s="524"/>
    </x:row>
    <x:row r="190">
      <x:c r="A190" s="556" t="n"/>
      <x:c r="B190" s="557" t="n"/>
      <x:c r="C190" s="557" t="n"/>
      <x:c r="D190" s="557" t="n"/>
      <x:c r="E190" s="557" t="n"/>
      <x:c r="F190" s="562" t="n"/>
      <x:c r="G190" s="563" t="n"/>
      <x:c r="H190" s="564" t="str">
        <x:f>IF(OR(F190="",G190=""),"",F190*G190)</x:f>
      </x:c>
      <x:c r="I190" s="563" t="n"/>
      <x:c r="J190" s="557" t="n"/>
      <x:c r="K190" s="561" t="str">
        <x:f>IF(B190="","",IF(AND(B190="Phụ kiện khác",C190=""),"⚠ NHẬP TÊN PHỤ KIỆN",IF(C190="","⚠ NHẬP TÊN SẢN PHẨM","OK")))</x:f>
      </x:c>
      <x:c r="L190" s="627"/>
      <x:c r="M190" s="524"/>
      <x:c r="N190" s="524"/>
      <x:c r="O190" s="524"/>
    </x:row>
    <x:row r="191">
      <x:c r="A191" s="556" t="n"/>
      <x:c r="B191" s="557" t="n"/>
      <x:c r="C191" s="557" t="n"/>
      <x:c r="D191" s="557" t="n"/>
      <x:c r="E191" s="557" t="n"/>
      <x:c r="F191" s="562" t="n"/>
      <x:c r="G191" s="563" t="n"/>
      <x:c r="H191" s="564" t="str">
        <x:f>IF(OR(F191="",G191=""),"",F191*G191)</x:f>
      </x:c>
      <x:c r="I191" s="563" t="n"/>
      <x:c r="J191" s="557" t="n"/>
      <x:c r="K191" s="561" t="str">
        <x:f>IF(B191="","",IF(AND(B191="Phụ kiện khác",C191=""),"⚠ NHẬP TÊN PHỤ KIỆN",IF(C191="","⚠ NHẬP TÊN SẢN PHẨM","OK")))</x:f>
      </x:c>
      <x:c r="L191" s="627"/>
      <x:c r="M191" s="524"/>
      <x:c r="N191" s="524"/>
      <x:c r="O191" s="524"/>
    </x:row>
    <x:row r="192">
      <x:c r="A192" s="556" t="n"/>
      <x:c r="B192" s="557" t="n"/>
      <x:c r="C192" s="557" t="n"/>
      <x:c r="D192" s="557" t="n"/>
      <x:c r="E192" s="557" t="n"/>
      <x:c r="F192" s="562" t="n"/>
      <x:c r="G192" s="563" t="n"/>
      <x:c r="H192" s="564" t="str">
        <x:f>IF(OR(F192="",G192=""),"",F192*G192)</x:f>
      </x:c>
      <x:c r="I192" s="563" t="n"/>
      <x:c r="J192" s="557" t="n"/>
      <x:c r="K192" s="561" t="str">
        <x:f>IF(B192="","",IF(AND(B192="Phụ kiện khác",C192=""),"⚠ NHẬP TÊN PHỤ KIỆN",IF(C192="","⚠ NHẬP TÊN SẢN PHẨM","OK")))</x:f>
      </x:c>
      <x:c r="L192" s="627"/>
      <x:c r="M192" s="524"/>
      <x:c r="N192" s="524"/>
      <x:c r="O192" s="524"/>
    </x:row>
    <x:row r="193">
      <x:c r="A193" s="556" t="n"/>
      <x:c r="B193" s="557" t="n"/>
      <x:c r="C193" s="557" t="n"/>
      <x:c r="D193" s="557" t="n"/>
      <x:c r="E193" s="557" t="n"/>
      <x:c r="F193" s="562" t="n"/>
      <x:c r="G193" s="563" t="n"/>
      <x:c r="H193" s="564" t="str">
        <x:f>IF(OR(F193="",G193=""),"",F193*G193)</x:f>
      </x:c>
      <x:c r="I193" s="563" t="n"/>
      <x:c r="J193" s="557" t="n"/>
      <x:c r="K193" s="561" t="str">
        <x:f>IF(B193="","",IF(AND(B193="Phụ kiện khác",C193=""),"⚠ NHẬP TÊN PHỤ KIỆN",IF(C193="","⚠ NHẬP TÊN SẢN PHẨM","OK")))</x:f>
      </x:c>
      <x:c r="L193" s="627"/>
      <x:c r="M193" s="524"/>
      <x:c r="N193" s="524"/>
      <x:c r="O193" s="524"/>
    </x:row>
    <x:row r="194">
      <x:c r="A194" s="556" t="n"/>
      <x:c r="B194" s="557" t="n"/>
      <x:c r="C194" s="557" t="n"/>
      <x:c r="D194" s="557" t="n"/>
      <x:c r="E194" s="557" t="n"/>
      <x:c r="F194" s="562" t="n"/>
      <x:c r="G194" s="563" t="n"/>
      <x:c r="H194" s="564" t="str">
        <x:f>IF(OR(F194="",G194=""),"",F194*G194)</x:f>
      </x:c>
      <x:c r="I194" s="563" t="n"/>
      <x:c r="J194" s="557" t="n"/>
      <x:c r="K194" s="561" t="str">
        <x:f>IF(B194="","",IF(AND(B194="Phụ kiện khác",C194=""),"⚠ NHẬP TÊN PHỤ KIỆN",IF(C194="","⚠ NHẬP TÊN SẢN PHẨM","OK")))</x:f>
      </x:c>
      <x:c r="L194" s="627"/>
      <x:c r="M194" s="524"/>
      <x:c r="N194" s="524"/>
      <x:c r="O194" s="524"/>
    </x:row>
    <x:row r="195">
      <x:c r="A195" s="556" t="n"/>
      <x:c r="B195" s="557" t="n"/>
      <x:c r="C195" s="557" t="n"/>
      <x:c r="D195" s="557" t="n"/>
      <x:c r="E195" s="557" t="n"/>
      <x:c r="F195" s="562" t="n"/>
      <x:c r="G195" s="563" t="n"/>
      <x:c r="H195" s="564" t="str">
        <x:f>IF(OR(F195="",G195=""),"",F195*G195)</x:f>
      </x:c>
      <x:c r="I195" s="563" t="n"/>
      <x:c r="J195" s="557" t="n"/>
      <x:c r="K195" s="561" t="str">
        <x:f>IF(B195="","",IF(AND(B195="Phụ kiện khác",C195=""),"⚠ NHẬP TÊN PHỤ KIỆN",IF(C195="","⚠ NHẬP TÊN SẢN PHẨM","OK")))</x:f>
      </x:c>
      <x:c r="L195" s="627"/>
      <x:c r="M195" s="524"/>
      <x:c r="N195" s="524"/>
      <x:c r="O195" s="524"/>
    </x:row>
    <x:row r="196">
      <x:c r="A196" s="556" t="n"/>
      <x:c r="B196" s="557" t="n"/>
      <x:c r="C196" s="557" t="n"/>
      <x:c r="D196" s="557" t="n"/>
      <x:c r="E196" s="557" t="n"/>
      <x:c r="F196" s="562" t="n"/>
      <x:c r="G196" s="563" t="n"/>
      <x:c r="H196" s="564" t="str">
        <x:f>IF(OR(F196="",G196=""),"",F196*G196)</x:f>
      </x:c>
      <x:c r="I196" s="563" t="n"/>
      <x:c r="J196" s="557" t="n"/>
      <x:c r="K196" s="561" t="str">
        <x:f>IF(B196="","",IF(AND(B196="Phụ kiện khác",C196=""),"⚠ NHẬP TÊN PHỤ KIỆN",IF(C196="","⚠ NHẬP TÊN SẢN PHẨM","OK")))</x:f>
      </x:c>
      <x:c r="L196" s="627"/>
      <x:c r="M196" s="524"/>
      <x:c r="N196" s="524"/>
      <x:c r="O196" s="524"/>
    </x:row>
    <x:row r="197">
      <x:c r="A197" s="556" t="n"/>
      <x:c r="B197" s="557" t="n"/>
      <x:c r="C197" s="557" t="n"/>
      <x:c r="D197" s="557" t="n"/>
      <x:c r="E197" s="557" t="n"/>
      <x:c r="F197" s="562" t="n"/>
      <x:c r="G197" s="563" t="n"/>
      <x:c r="H197" s="564" t="str">
        <x:f>IF(OR(F197="",G197=""),"",F197*G197)</x:f>
      </x:c>
      <x:c r="I197" s="563" t="n"/>
      <x:c r="J197" s="557" t="n"/>
      <x:c r="K197" s="561" t="str">
        <x:f>IF(B197="","",IF(AND(B197="Phụ kiện khác",C197=""),"⚠ NHẬP TÊN PHỤ KIỆN",IF(C197="","⚠ NHẬP TÊN SẢN PHẨM","OK")))</x:f>
      </x:c>
      <x:c r="L197" s="627"/>
      <x:c r="M197" s="524"/>
      <x:c r="N197" s="524"/>
      <x:c r="O197" s="524"/>
    </x:row>
    <x:row r="198">
      <x:c r="A198" s="556" t="n"/>
      <x:c r="B198" s="557" t="n"/>
      <x:c r="C198" s="557" t="n"/>
      <x:c r="D198" s="557" t="n"/>
      <x:c r="E198" s="557" t="n"/>
      <x:c r="F198" s="562" t="n"/>
      <x:c r="G198" s="563" t="n"/>
      <x:c r="H198" s="564" t="str">
        <x:f>IF(OR(F198="",G198=""),"",F198*G198)</x:f>
      </x:c>
      <x:c r="I198" s="563" t="n"/>
      <x:c r="J198" s="557" t="n"/>
      <x:c r="K198" s="561" t="str">
        <x:f>IF(B198="","",IF(AND(B198="Phụ kiện khác",C198=""),"⚠ NHẬP TÊN PHỤ KIỆN",IF(C198="","⚠ NHẬP TÊN SẢN PHẨM","OK")))</x:f>
      </x:c>
      <x:c r="L198" s="627"/>
      <x:c r="M198" s="524"/>
      <x:c r="N198" s="524"/>
      <x:c r="O198" s="524"/>
    </x:row>
    <x:row r="199">
      <x:c r="A199" s="556" t="n"/>
      <x:c r="B199" s="557" t="n"/>
      <x:c r="C199" s="557" t="n"/>
      <x:c r="D199" s="557" t="n"/>
      <x:c r="E199" s="557" t="n"/>
      <x:c r="F199" s="562" t="n"/>
      <x:c r="G199" s="563" t="n"/>
      <x:c r="H199" s="564" t="str">
        <x:f>IF(OR(F199="",G199=""),"",F199*G199)</x:f>
      </x:c>
      <x:c r="I199" s="563" t="n"/>
      <x:c r="J199" s="557" t="n"/>
      <x:c r="K199" s="561" t="str">
        <x:f>IF(B199="","",IF(AND(B199="Phụ kiện khác",C199=""),"⚠ NHẬP TÊN PHỤ KIỆN",IF(C199="","⚠ NHẬP TÊN SẢN PHẨM","OK")))</x:f>
      </x:c>
      <x:c r="L199" s="627"/>
      <x:c r="M199" s="524"/>
      <x:c r="N199" s="524"/>
      <x:c r="O199" s="524"/>
    </x:row>
    <x:row r="200">
      <x:c r="A200" s="556" t="n"/>
      <x:c r="B200" s="557" t="n"/>
      <x:c r="C200" s="557" t="n"/>
      <x:c r="D200" s="557" t="n"/>
      <x:c r="E200" s="557" t="n"/>
      <x:c r="F200" s="562" t="n"/>
      <x:c r="G200" s="563" t="n"/>
      <x:c r="H200" s="564" t="str">
        <x:f>IF(OR(F200="",G200=""),"",F200*G200)</x:f>
      </x:c>
      <x:c r="I200" s="563" t="n"/>
      <x:c r="J200" s="557" t="n"/>
      <x:c r="K200" s="561" t="str">
        <x:f>IF(B200="","",IF(AND(B200="Phụ kiện khác",C200=""),"⚠ NHẬP TÊN PHỤ KIỆN",IF(C200="","⚠ NHẬP TÊN SẢN PHẨM","OK")))</x:f>
      </x:c>
      <x:c r="L200" s="627"/>
      <x:c r="M200" s="524"/>
      <x:c r="N200" s="524"/>
      <x:c r="O200" s="524"/>
    </x:row>
    <x:row r="201">
      <x:c r="A201" s="556" t="n"/>
      <x:c r="B201" s="557" t="n"/>
      <x:c r="C201" s="557" t="n"/>
      <x:c r="D201" s="557" t="n"/>
      <x:c r="E201" s="557" t="n"/>
      <x:c r="F201" s="562" t="n"/>
      <x:c r="G201" s="563" t="n"/>
      <x:c r="H201" s="564" t="str">
        <x:f>IF(OR(F201="",G201=""),"",F201*G201)</x:f>
      </x:c>
      <x:c r="I201" s="563" t="n"/>
      <x:c r="J201" s="557" t="n"/>
      <x:c r="K201" s="561" t="str">
        <x:f>IF(B201="","",IF(AND(B201="Phụ kiện khác",C201=""),"⚠ NHẬP TÊN PHỤ KIỆN",IF(C201="","⚠ NHẬP TÊN SẢN PHẨM","OK")))</x:f>
      </x:c>
      <x:c r="L201" s="627"/>
      <x:c r="M201" s="524"/>
      <x:c r="N201" s="524"/>
      <x:c r="O201" s="524"/>
    </x:row>
    <x:row r="202">
      <x:c r="A202" s="556" t="n"/>
      <x:c r="B202" s="557" t="n"/>
      <x:c r="C202" s="557" t="n"/>
      <x:c r="D202" s="557" t="n"/>
      <x:c r="E202" s="557" t="n"/>
      <x:c r="F202" s="562" t="n"/>
      <x:c r="G202" s="563" t="n"/>
      <x:c r="H202" s="564" t="str">
        <x:f>IF(OR(F202="",G202=""),"",F202*G202)</x:f>
      </x:c>
      <x:c r="I202" s="563" t="n"/>
      <x:c r="J202" s="557" t="n"/>
      <x:c r="K202" s="561" t="str">
        <x:f>IF(B202="","",IF(AND(B202="Phụ kiện khác",C202=""),"⚠ NHẬP TÊN PHỤ KIỆN",IF(C202="","⚠ NHẬP TÊN SẢN PHẨM","OK")))</x:f>
      </x:c>
      <x:c r="L202" s="627"/>
      <x:c r="M202" s="524"/>
      <x:c r="N202" s="524"/>
      <x:c r="O202" s="524"/>
    </x:row>
    <x:row r="203">
      <x:c r="A203" s="556" t="n"/>
      <x:c r="B203" s="557" t="n"/>
      <x:c r="C203" s="557" t="n"/>
      <x:c r="D203" s="557" t="n"/>
      <x:c r="E203" s="557" t="n"/>
      <x:c r="F203" s="562" t="n"/>
      <x:c r="G203" s="563" t="n"/>
      <x:c r="H203" s="564" t="str">
        <x:f>IF(OR(F203="",G203=""),"",F203*G203)</x:f>
      </x:c>
      <x:c r="I203" s="563" t="n"/>
      <x:c r="J203" s="557" t="n"/>
      <x:c r="K203" s="561" t="str">
        <x:f>IF(B203="","",IF(AND(B203="Phụ kiện khác",C203=""),"⚠ NHẬP TÊN PHỤ KIỆN",IF(C203="","⚠ NHẬP TÊN SẢN PHẨM","OK")))</x:f>
      </x:c>
      <x:c r="L203" s="627"/>
      <x:c r="M203" s="524"/>
      <x:c r="N203" s="524"/>
      <x:c r="O203" s="524"/>
    </x:row>
    <x:row r="204">
      <x:c r="A204" s="556" t="n"/>
      <x:c r="B204" s="557" t="n"/>
      <x:c r="C204" s="557" t="n"/>
      <x:c r="D204" s="557" t="n"/>
      <x:c r="E204" s="557" t="n"/>
      <x:c r="F204" s="562" t="n"/>
      <x:c r="G204" s="563" t="n"/>
      <x:c r="H204" s="564" t="str">
        <x:f>IF(OR(F204="",G204=""),"",F204*G204)</x:f>
      </x:c>
      <x:c r="I204" s="563" t="n"/>
      <x:c r="J204" s="557" t="n"/>
      <x:c r="K204" s="561" t="str">
        <x:f>IF(B204="","",IF(AND(B204="Phụ kiện khác",C204=""),"⚠ NHẬP TÊN PHỤ KIỆN",IF(C204="","⚠ NHẬP TÊN SẢN PHẨM","OK")))</x:f>
      </x:c>
      <x:c r="L204" s="627"/>
      <x:c r="M204" s="524"/>
      <x:c r="N204" s="524"/>
      <x:c r="O204" s="524"/>
    </x:row>
    <x:row r="205">
      <x:c r="A205" s="556" t="n"/>
      <x:c r="B205" s="557" t="n"/>
      <x:c r="C205" s="557" t="n"/>
      <x:c r="D205" s="557" t="n"/>
      <x:c r="E205" s="557" t="n"/>
      <x:c r="F205" s="562" t="n"/>
      <x:c r="G205" s="563" t="n"/>
      <x:c r="H205" s="564" t="str">
        <x:f>IF(OR(F205="",G205=""),"",F205*G205)</x:f>
      </x:c>
      <x:c r="I205" s="563" t="n"/>
      <x:c r="J205" s="557" t="n"/>
      <x:c r="K205" s="561" t="str">
        <x:f>IF(B205="","",IF(AND(B205="Phụ kiện khác",C205=""),"⚠ NHẬP TÊN PHỤ KIỆN",IF(C205="","⚠ NHẬP TÊN SẢN PHẨM","OK")))</x:f>
      </x:c>
      <x:c r="L205" s="627"/>
      <x:c r="M205" s="524"/>
      <x:c r="N205" s="524"/>
      <x:c r="O205" s="524"/>
    </x:row>
  </x:sheetData>
  <x:mergeCells>
    <x:mergeCell ref="A2:K2"/>
    <x:mergeCell ref="M1:O1"/>
    <x:mergeCell ref="A1:K1"/>
  </x:mergeCells>
  <x:conditionalFormatting sqref="K5:K205">
    <x:cfRule type="expression" dxfId="0" priority="1">
      <x:formula>LEFT(K5,1)="⚠"</x:formula>
    </x:cfRule>
    <x:cfRule type="expression" dxfId="1" priority="2">
      <x:formula>K5="OK"</x:formula>
    </x:cfRule>
  </x:conditionalFormatting>
  <x:dataValidations count="1">
    <x:dataValidation type="list" allowBlank="0" showDropDown="0" showInputMessage="0" showErrorMessage="0" sqref="B5:B205">
      <x:formula1>'5_Danh mục'!$A$3:$A$9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baseColWidth="8" defaultRowHeight="15"/>
  <x:cols>
    <x:col min="1" max="1" width="12" style="14" customWidth="1"/>
    <x:col min="2" max="2" width="28" style="14" customWidth="1"/>
    <x:col min="3" max="3" width="16" style="14" customWidth="1"/>
    <x:col min="4" max="4" width="14" style="14" customWidth="1"/>
    <x:col min="5" max="5" width="12" style="14" customWidth="1"/>
    <x:col min="6" max="6" width="17" style="14" customWidth="1"/>
    <x:col min="7" max="7" width="17" style="14" customWidth="1"/>
    <x:col min="8" max="8" width="14" style="14" customWidth="1"/>
    <x:col min="9" max="9" width="16" style="14" customWidth="1"/>
    <x:col min="10" max="10" width="14" style="14" customWidth="1"/>
    <x:col min="11" max="11" width="14" style="14" customWidth="1"/>
    <x:col min="12" max="12" width="16" style="14" customWidth="1"/>
    <x:col min="13" max="13" width="16" style="14" customWidth="1"/>
    <x:col min="14" max="14" width="18" style="14" customWidth="1"/>
    <x:col min="15" max="15" width="16" style="14" customWidth="1"/>
    <x:col min="16" max="16" width="28" style="14" customWidth="1"/>
    <x:col min="17" max="17" width="18" style="14" customWidth="1"/>
    <x:col min="18" max="18" width="16" style="14" customWidth="1"/>
    <x:col min="19" max="19" width="18" style="14" customWidth="1"/>
    <x:col min="20" max="20" width="16" style="14" customWidth="1"/>
    <x:col min="21" max="21" width="16" style="14" customWidth="1"/>
    <x:col min="22" max="22" width="16" style="14" customWidth="1"/>
    <x:col min="23" max="23" width="19" style="14" customWidth="1"/>
    <x:col min="24" max="24" width="21" style="14" customWidth="1"/>
    <x:col min="25" max="25" width="18" style="14" customWidth="1"/>
    <x:col min="26" max="26" width="18" style="14" customWidth="1"/>
    <x:col min="27" max="27" width="16" style="14" customWidth="1"/>
    <x:col min="28" max="28" width="48" style="14" customWidth="1"/>
    <x:col min="29" max="29" width="19" style="14" customWidth="1"/>
    <x:col min="30" max="30" width="16" style="14" customWidth="1"/>
    <x:col min="31" max="31" width="18" style="14" customWidth="1"/>
    <x:col min="32" max="32" width="16" style="14" customWidth="1"/>
    <x:col min="33" max="33" width="18" style="14" customWidth="1"/>
    <x:col min="34" max="34" width="16" style="14" customWidth="1"/>
    <x:col min="35" max="35" width="19" style="14" customWidth="1"/>
    <x:col min="36" max="36" width="18" style="14" customWidth="1"/>
    <x:col min="37" max="37" width="18" style="14" customWidth="1"/>
    <x:col min="38" max="38" width="22" style="14" customWidth="1"/>
    <x:col min="39" max="39" width="18" style="14" customWidth="1"/>
    <x:col min="40" max="40" width="18" style="14" customWidth="1"/>
    <x:col min="41" max="41" width="20" style="14" customWidth="1"/>
  </x:cols>
  <x:sheetData>
    <x:row r="1" s="14" customFormat="1" ht="28" customHeight="1">
      <x:c r="A1" s="535" t="inlineStr">
        <x:is>
          <x:t xml:space="preserve">TÍNH COST SẢN PHẨM → GIÁ BÁN TIKTOK / SHOPEE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  <x:c r="L1" s="524" t="n"/>
      <x:c r="M1" s="524" t="n"/>
      <x:c r="N1" s="524" t="n"/>
      <x:c r="O1" s="524" t="n"/>
      <x:c r="P1" s="524" t="n"/>
      <x:c r="Q1" s="524" t="n"/>
      <x:c r="R1" s="524" t="n"/>
      <x:c r="S1" s="524" t="n"/>
      <x:c r="T1" s="524" t="n"/>
      <x:c r="U1" s="524" t="n"/>
      <x:c r="V1" s="524" t="n"/>
      <x:c r="W1" s="524" t="n"/>
      <x:c r="X1" s="524" t="n"/>
      <x:c r="Y1" s="524" t="n"/>
      <x:c r="Z1" s="524" t="n"/>
      <x:c r="AA1" s="524" t="n"/>
      <x:c r="AB1" s="524" t="n"/>
      <x:c r="AC1" s="524" t="n"/>
      <x:c r="AD1" s="524" t="n"/>
      <x:c r="AE1" s="524" t="n"/>
      <x:c r="AF1" s="524" t="n"/>
      <x:c r="AG1" s="524" t="n"/>
      <x:c r="AH1" s="524" t="n"/>
      <x:c r="AI1" s="524" t="n"/>
      <x:c r="AJ1" s="524" t="n"/>
      <x:c r="AK1" s="524" t="n"/>
      <x:c r="AL1" s="524" t="n"/>
      <x:c r="AM1" s="524" t="n"/>
      <x:c r="AN1" s="524" t="n"/>
      <x:c r="AO1" s="524" t="n"/>
    </x:row>
    <x:row r="2">
      <x:c r="A2" s="536" t="inlineStr">
        <x:is>
          <x:t xml:space="preserve">Mục tiêu mặc định: LỢI NHUẬN RÒNG = 100% COST. Giá bán được làm tròn lên bội số 100đ. Phí % có thể chỉnh bằng Override / Phí khác để khớp đúng tài khoản của bạn.</x:t>
        </x:is>
      </x:c>
      <x:c r="B2" s="524" t="n"/>
      <x:c r="C2" s="524" t="n"/>
      <x:c r="D2" s="524" t="n"/>
      <x:c r="E2" s="524" t="n"/>
      <x:c r="F2" s="524" t="n"/>
      <x:c r="G2" s="524" t="n"/>
      <x:c r="H2" s="524" t="n"/>
      <x:c r="I2" s="524" t="n"/>
      <x:c r="J2" s="524" t="n"/>
      <x:c r="K2" s="524" t="n"/>
      <x:c r="L2" s="524" t="n"/>
      <x:c r="M2" s="524" t="n"/>
      <x:c r="N2" s="524" t="n"/>
      <x:c r="O2" s="524" t="n"/>
      <x:c r="P2" s="524" t="n"/>
      <x:c r="Q2" s="524" t="n"/>
      <x:c r="R2" s="524" t="n"/>
      <x:c r="S2" s="524" t="n"/>
      <x:c r="T2" s="524" t="n"/>
      <x:c r="U2" s="524" t="n"/>
      <x:c r="V2" s="524" t="n"/>
      <x:c r="W2" s="524" t="n"/>
      <x:c r="X2" s="524" t="n"/>
      <x:c r="Y2" s="524" t="n"/>
      <x:c r="Z2" s="524" t="n"/>
      <x:c r="AA2" s="524" t="n"/>
      <x:c r="AB2" s="524" t="n"/>
      <x:c r="AC2" s="524" t="n"/>
      <x:c r="AD2" s="524" t="n"/>
      <x:c r="AE2" s="524" t="n"/>
      <x:c r="AF2" s="524" t="n"/>
      <x:c r="AG2" s="524" t="n"/>
      <x:c r="AH2" s="524" t="n"/>
      <x:c r="AI2" s="524" t="n"/>
      <x:c r="AJ2" s="524" t="n"/>
      <x:c r="AK2" s="524" t="n"/>
      <x:c r="AL2" s="524" t="n"/>
      <x:c r="AM2" s="524" t="n"/>
      <x:c r="AN2" s="524" t="n"/>
      <x:c r="AO2" s="524" t="n"/>
    </x:row>
    <x:row r="3">
      <x:c r="A3" s="524"/>
      <x:c r="B3" s="524"/>
      <x:c r="C3" s="524"/>
      <x:c r="D3" s="524"/>
      <x:c r="E3" s="524"/>
      <x:c r="F3" s="524"/>
      <x:c r="G3" s="524"/>
      <x:c r="H3" s="524"/>
      <x:c r="I3" s="524"/>
      <x:c r="J3" s="524"/>
      <x:c r="K3" s="524"/>
      <x:c r="L3" s="524"/>
      <x:c r="M3" s="524"/>
      <x:c r="N3" s="524"/>
      <x:c r="O3" s="524"/>
      <x:c r="P3" s="524"/>
      <x:c r="Q3" s="524"/>
      <x:c r="R3" s="524"/>
      <x:c r="S3" s="524"/>
      <x:c r="T3" s="524"/>
      <x:c r="U3" s="524"/>
      <x:c r="V3" s="524"/>
      <x:c r="W3" s="524"/>
      <x:c r="X3" s="524"/>
      <x:c r="Y3" s="524"/>
      <x:c r="Z3" s="524"/>
      <x:c r="AA3" s="524"/>
      <x:c r="AB3" s="524"/>
      <x:c r="AC3" s="524"/>
      <x:c r="AD3" s="524"/>
      <x:c r="AE3" s="524"/>
      <x:c r="AF3" s="524"/>
      <x:c r="AG3" s="524"/>
      <x:c r="AH3" s="524"/>
      <x:c r="AI3" s="524"/>
      <x:c r="AJ3" s="524"/>
      <x:c r="AK3" s="524"/>
      <x:c r="AL3" s="524"/>
      <x:c r="AM3" s="524"/>
      <x:c r="AN3" s="524"/>
      <x:c r="AO3" s="524"/>
    </x:row>
    <x:row r="4">
      <x:c r="A4" s="525" t="inlineStr">
        <x:is>
          <x:t xml:space="preserve">THAM SỐ CHUNG</x:t>
        </x:is>
      </x:c>
      <x:c r="B4" s="524" t="n"/>
      <x:c r="C4" s="524" t="n"/>
      <x:c r="D4" s="524" t="n"/>
      <x:c r="E4" s="524" t="n"/>
      <x:c r="F4" s="524" t="n"/>
      <x:c r="G4" s="524" t="n"/>
      <x:c r="H4" s="524" t="n"/>
      <x:c r="I4" s="524"/>
      <x:c r="J4" s="525" t="inlineStr">
        <x:is>
          <x:t xml:space="preserve">VÍ DỤ KIỂM TRA COST = 8.000đ</x:t>
        </x:is>
      </x:c>
      <x:c r="K4" s="524" t="n"/>
      <x:c r="L4" s="524" t="n"/>
      <x:c r="M4" s="524" t="n"/>
      <x:c r="N4" s="524" t="n"/>
      <x:c r="O4" s="524" t="n"/>
      <x:c r="P4" s="524"/>
      <x:c r="Q4" s="524"/>
      <x:c r="R4" s="524"/>
      <x:c r="S4" s="524"/>
      <x:c r="T4" s="524"/>
      <x:c r="U4" s="524"/>
      <x:c r="V4" s="524"/>
      <x:c r="W4" s="524"/>
      <x:c r="X4" s="524"/>
      <x:c r="Y4" s="524"/>
      <x:c r="Z4" s="524"/>
      <x:c r="AA4" s="524"/>
      <x:c r="AB4" s="524"/>
      <x:c r="AC4" s="524"/>
      <x:c r="AD4" s="524"/>
      <x:c r="AE4" s="524"/>
      <x:c r="AF4" s="524"/>
      <x:c r="AG4" s="524"/>
      <x:c r="AH4" s="524"/>
      <x:c r="AI4" s="524"/>
      <x:c r="AJ4" s="524"/>
      <x:c r="AK4" s="524"/>
      <x:c r="AL4" s="524"/>
      <x:c r="AM4" s="524"/>
      <x:c r="AN4" s="524"/>
      <x:c r="AO4" s="524"/>
    </x:row>
    <x:row r="5">
      <x:c r="A5" s="524" t="inlineStr">
        <x:is>
          <x:t xml:space="preserve">Tỷ lệ lợi nhuận mục tiêu / COST</x:t>
        </x:is>
      </x:c>
      <x:c r="B5" s="537" t="n">
        <x:v>1</x:v>
      </x:c>
      <x:c r="C5" s="524" t="inlineStr">
        <x:is>
          <x:t xml:space="preserve">Bước làm tròn giá (đ)</x:t>
        </x:is>
      </x:c>
      <x:c r="D5" s="565" t="n">
        <x:v>100</x:v>
      </x:c>
      <x:c r="E5" s="524" t="str"/>
      <x:c r="F5" s="524" t="str"/>
      <x:c r="G5" s="524" t="inlineStr">
        <x:is>
          <x:t xml:space="preserve">Ngày dữ liệu phí</x:t>
        </x:is>
      </x:c>
      <x:c r="H5" s="538" t="n">
        <x:v>46285</x:v>
      </x:c>
      <x:c r="I5" s="524"/>
      <x:c r="J5" s="524" t="inlineStr">
        <x:is>
          <x:t xml:space="preserve">COST</x:t>
        </x:is>
      </x:c>
      <x:c r="K5" s="533" t="n">
        <x:v>8000</x:v>
      </x:c>
      <x:c r="L5" s="524" t="inlineStr">
        <x:is>
          <x:t xml:space="preserve">Lợi nhuận mục tiêu</x:t>
        </x:is>
      </x:c>
      <x:c r="M5" s="527" t="n">
        <x:f>K5</x:f>
        <x:v>8000</x:v>
      </x:c>
      <x:c r="N5" s="534" t="inlineStr">
        <x:is>
          <x:t xml:space="preserve">Tổng tiền cần thu ròng</x:t>
        </x:is>
      </x:c>
      <x:c r="O5" s="527" t="n">
        <x:f>K5+M5</x:f>
        <x:v>16000</x:v>
      </x:c>
      <x:c r="P5" s="524"/>
      <x:c r="Q5" s="524"/>
      <x:c r="R5" s="524"/>
      <x:c r="S5" s="524"/>
      <x:c r="T5" s="524"/>
      <x:c r="U5" s="524"/>
      <x:c r="V5" s="524"/>
      <x:c r="W5" s="524"/>
      <x:c r="X5" s="524"/>
      <x:c r="Y5" s="524"/>
      <x:c r="Z5" s="524"/>
      <x:c r="AA5" s="524"/>
      <x:c r="AB5" s="524"/>
      <x:c r="AC5" s="524"/>
      <x:c r="AD5" s="524"/>
      <x:c r="AE5" s="524"/>
      <x:c r="AF5" s="524"/>
      <x:c r="AG5" s="524"/>
      <x:c r="AH5" s="524"/>
      <x:c r="AI5" s="524"/>
      <x:c r="AJ5" s="524"/>
      <x:c r="AK5" s="524"/>
      <x:c r="AL5" s="524"/>
      <x:c r="AM5" s="524"/>
      <x:c r="AN5" s="524"/>
      <x:c r="AO5" s="524"/>
    </x:row>
    <x:row r="6">
      <x:c r="A6" s="524" t="inlineStr">
        <x:is>
          <x:t xml:space="preserve">Phí khác mặc định TikTok</x:t>
        </x:is>
      </x:c>
      <x:c r="B6" s="537" t="n">
        <x:v>0</x:v>
      </x:c>
      <x:c r="C6" s="539" t="inlineStr">
        <x:is>
          <x:t xml:space="preserve">Phí khác mặc định Shopee</x:t>
        </x:is>
      </x:c>
      <x:c r="D6" s="537" t="n">
        <x:v>0</x:v>
      </x:c>
      <x:c r="E6" s="524"/>
      <x:c r="F6" s="524"/>
      <x:c r="G6" s="524" t="inlineStr">
        <x:is>
          <x:t xml:space="preserve">Hỗ trợ TikTok theo chương trình</x:t>
        </x:is>
      </x:c>
      <x:c r="H6" s="524" t="inlineStr">
        <x:is>
          <x:t xml:space="preserve">TẮT</x:t>
        </x:is>
      </x:c>
      <x:c r="I6" s="524"/>
      <x:c r="J6" s="524" t="inlineStr">
        <x:is>
          <x:t xml:space="preserve">TikTok hoa hồng</x:t>
        </x:is>
      </x:c>
      <x:c r="K6" s="537" t="n">
        <x:v>0.14</x:v>
      </x:c>
      <x:c r="L6" s="524" t="inlineStr">
        <x:is>
          <x:t xml:space="preserve">TikTok giao dịch</x:t>
        </x:is>
      </x:c>
      <x:c r="M6" s="540" t="n">
        <x:v>0.06</x:v>
      </x:c>
      <x:c r="N6" s="534" t="inlineStr">
        <x:is>
          <x:t xml:space="preserve">TikTok xử lý đơn</x:t>
        </x:is>
      </x:c>
      <x:c r="O6" s="527" t="n">
        <x:v>3000</x:v>
      </x:c>
      <x:c r="P6" s="524"/>
      <x:c r="Q6" s="524"/>
      <x:c r="R6" s="524"/>
      <x:c r="S6" s="524"/>
      <x:c r="T6" s="524"/>
      <x:c r="U6" s="524"/>
      <x:c r="V6" s="524"/>
      <x:c r="W6" s="524"/>
      <x:c r="X6" s="524"/>
      <x:c r="Y6" s="524"/>
      <x:c r="Z6" s="524"/>
      <x:c r="AA6" s="524"/>
      <x:c r="AB6" s="524"/>
      <x:c r="AC6" s="524"/>
      <x:c r="AD6" s="524"/>
      <x:c r="AE6" s="524"/>
      <x:c r="AF6" s="524"/>
      <x:c r="AG6" s="524"/>
      <x:c r="AH6" s="524"/>
      <x:c r="AI6" s="524"/>
      <x:c r="AJ6" s="524"/>
      <x:c r="AK6" s="524"/>
      <x:c r="AL6" s="524"/>
      <x:c r="AM6" s="524"/>
      <x:c r="AN6" s="524"/>
      <x:c r="AO6" s="524"/>
    </x:row>
    <x:row r="7">
      <x:c r="A7" s="524" t="inlineStr">
        <x:is>
          <x:t xml:space="preserve">Tax / thuế khấu trừ (nếu có)</x:t>
        </x:is>
      </x:c>
      <x:c r="B7" s="537" t="n">
        <x:v>0</x:v>
      </x:c>
      <x:c r="C7" s="539" t="inlineStr">
        <x:is>
          <x:t xml:space="preserve">Ghi chú</x:t>
        </x:is>
      </x:c>
      <x:c r="D7" s="539" t="inlineStr">
        <x:is>
          <x:t xml:space="preserve">Nhập % thực tế nếu tài khoản bị khấu trừ thuế</x:t>
        </x:is>
      </x:c>
      <x:c r="E7" s="524" t="str"/>
      <x:c r="F7" s="524" t="str"/>
      <x:c r="G7" s="524" t="str"/>
      <x:c r="H7" s="524" t="str"/>
      <x:c r="I7" s="524"/>
      <x:c r="J7" s="524" t="inlineStr">
        <x:is>
          <x:t xml:space="preserve">Giá bán tối thiểu TikTok</x:t>
        </x:is>
      </x:c>
      <x:c r="K7" s="541" t="n">
        <x:f>CEILING((K5+M5+O6)/(1-K6-M6),D5)</x:f>
        <x:v>23800</x:v>
      </x:c>
      <x:c r="L7" s="541" t="inlineStr">
        <x:is>
          <x:t xml:space="preserve">Phí sàn TikTok</x:t>
        </x:is>
      </x:c>
      <x:c r="M7" s="527" t="n">
        <x:f>K7*(K6+M6)+O6</x:f>
        <x:v>7760</x:v>
      </x:c>
      <x:c r="N7" s="527" t="inlineStr">
        <x:is>
          <x:t xml:space="preserve">Lợi nhuận ròng</x:t>
        </x:is>
      </x:c>
      <x:c r="O7" s="527" t="n">
        <x:f>K7-M7-K5</x:f>
        <x:v>8040</x:v>
      </x:c>
      <x:c r="P7" s="524"/>
      <x:c r="Q7" s="524"/>
      <x:c r="R7" s="524"/>
      <x:c r="S7" s="524"/>
      <x:c r="T7" s="524"/>
      <x:c r="U7" s="524"/>
      <x:c r="V7" s="524"/>
      <x:c r="W7" s="524"/>
      <x:c r="X7" s="524"/>
      <x:c r="Y7" s="524"/>
      <x:c r="Z7" s="524"/>
      <x:c r="AA7" s="524"/>
      <x:c r="AB7" s="524"/>
      <x:c r="AC7" s="524"/>
      <x:c r="AD7" s="524"/>
      <x:c r="AE7" s="524"/>
      <x:c r="AF7" s="524"/>
      <x:c r="AG7" s="524"/>
      <x:c r="AH7" s="524"/>
      <x:c r="AI7" s="524"/>
      <x:c r="AJ7" s="524"/>
      <x:c r="AK7" s="524"/>
      <x:c r="AL7" s="524"/>
      <x:c r="AM7" s="524"/>
      <x:c r="AN7" s="524"/>
      <x:c r="AO7" s="524"/>
    </x:row>
    <x:row r="8">
      <x:c r="A8" s="524"/>
      <x:c r="B8" s="524"/>
      <x:c r="C8" s="524"/>
      <x:c r="D8" s="524"/>
      <x:c r="E8" s="524"/>
      <x:c r="F8" s="524"/>
      <x:c r="G8" s="524"/>
      <x:c r="H8" s="524"/>
      <x:c r="I8" s="524"/>
      <x:c r="J8" s="524" t="inlineStr">
        <x:is>
          <x:t xml:space="preserve">Shopee phí cố định</x:t>
        </x:is>
      </x:c>
      <x:c r="K8" s="541" t="n">
        <x:v>0.14</x:v>
      </x:c>
      <x:c r="L8" s="541" t="inlineStr">
        <x:is>
          <x:t xml:space="preserve">Shopee giao dịch</x:t>
        </x:is>
      </x:c>
      <x:c r="M8" s="527" t="n">
        <x:v>0.06</x:v>
      </x:c>
      <x:c r="N8" s="527" t="inlineStr">
        <x:is>
          <x:t xml:space="preserve">Shopee hạ tầng</x:t>
        </x:is>
      </x:c>
      <x:c r="O8" s="527" t="n">
        <x:v>3000</x:v>
      </x:c>
      <x:c r="P8" s="524"/>
      <x:c r="Q8" s="524"/>
      <x:c r="R8" s="524"/>
      <x:c r="S8" s="524"/>
      <x:c r="T8" s="524"/>
      <x:c r="U8" s="524"/>
      <x:c r="V8" s="524"/>
      <x:c r="W8" s="524"/>
      <x:c r="X8" s="524"/>
      <x:c r="Y8" s="524"/>
      <x:c r="Z8" s="524"/>
      <x:c r="AA8" s="524"/>
      <x:c r="AB8" s="524"/>
      <x:c r="AC8" s="524"/>
      <x:c r="AD8" s="524"/>
      <x:c r="AE8" s="524"/>
      <x:c r="AF8" s="524"/>
      <x:c r="AG8" s="524"/>
      <x:c r="AH8" s="524"/>
      <x:c r="AI8" s="524"/>
      <x:c r="AJ8" s="524"/>
      <x:c r="AK8" s="524"/>
      <x:c r="AL8" s="524"/>
      <x:c r="AM8" s="524"/>
      <x:c r="AN8" s="524"/>
      <x:c r="AO8" s="524"/>
    </x:row>
    <x:row r="9">
      <x:c r="A9" s="524"/>
      <x:c r="B9" s="524"/>
      <x:c r="C9" s="524"/>
      <x:c r="D9" s="524"/>
      <x:c r="E9" s="524"/>
      <x:c r="F9" s="524"/>
      <x:c r="G9" s="524"/>
      <x:c r="H9" s="524"/>
      <x:c r="I9" s="524"/>
      <x:c r="J9" s="524" t="inlineStr">
        <x:is>
          <x:t xml:space="preserve">Shopee giá bán tối thiểu</x:t>
        </x:is>
      </x:c>
      <x:c r="K9" s="541" t="n">
        <x:f>CEILING((K5+M5+O8)/((1-K8-M8)),D5)</x:f>
        <x:v>23800</x:v>
      </x:c>
      <x:c r="L9" s="541" t="inlineStr">
        <x:is>
          <x:t xml:space="preserve">Phí sàn Shopee</x:t>
        </x:is>
      </x:c>
      <x:c r="M9" s="527" t="n">
        <x:f>K9*(K8+M8)+O8</x:f>
        <x:v>7760</x:v>
      </x:c>
      <x:c r="N9" s="527" t="inlineStr">
        <x:is>
          <x:t xml:space="preserve">Lợi nhuận ròng</x:t>
        </x:is>
      </x:c>
      <x:c r="O9" s="527" t="n">
        <x:f>K9-M9-K5</x:f>
        <x:v>8040</x:v>
      </x:c>
      <x:c r="P9" s="524"/>
      <x:c r="Q9" s="524"/>
      <x:c r="R9" s="524"/>
      <x:c r="S9" s="524"/>
      <x:c r="T9" s="524"/>
      <x:c r="U9" s="524"/>
      <x:c r="V9" s="524"/>
      <x:c r="W9" s="524"/>
      <x:c r="X9" s="524"/>
      <x:c r="Y9" s="524"/>
      <x:c r="Z9" s="524"/>
      <x:c r="AA9" s="524"/>
      <x:c r="AB9" s="524"/>
      <x:c r="AC9" s="524"/>
      <x:c r="AD9" s="524"/>
      <x:c r="AE9" s="524"/>
      <x:c r="AF9" s="524"/>
      <x:c r="AG9" s="524"/>
      <x:c r="AH9" s="524"/>
      <x:c r="AI9" s="524"/>
      <x:c r="AJ9" s="524"/>
      <x:c r="AK9" s="524"/>
      <x:c r="AL9" s="524"/>
      <x:c r="AM9" s="524"/>
      <x:c r="AN9" s="524"/>
      <x:c r="AO9" s="524"/>
    </x:row>
    <x:row r="10">
      <x:c r="A10" s="524"/>
      <x:c r="B10" s="524"/>
      <x:c r="C10" s="524"/>
      <x:c r="D10" s="524"/>
      <x:c r="E10" s="524"/>
      <x:c r="F10" s="524"/>
      <x:c r="G10" s="524"/>
      <x:c r="H10" s="524"/>
      <x:c r="I10" s="524"/>
      <x:c r="J10" s="524"/>
      <x:c r="K10" s="524"/>
      <x:c r="L10" s="524"/>
      <x:c r="M10" s="524"/>
      <x:c r="N10" s="524"/>
      <x:c r="O10" s="524"/>
      <x:c r="P10" s="524"/>
      <x:c r="Q10" s="524"/>
      <x:c r="R10" s="524"/>
      <x:c r="S10" s="524"/>
      <x:c r="T10" s="524"/>
      <x:c r="U10" s="524"/>
      <x:c r="V10" s="524"/>
      <x:c r="W10" s="524"/>
      <x:c r="X10" s="524"/>
      <x:c r="Y10" s="524"/>
      <x:c r="Z10" s="524"/>
      <x:c r="AA10" s="524"/>
      <x:c r="AB10" s="524"/>
      <x:c r="AC10" s="524"/>
      <x:c r="AD10" s="524"/>
      <x:c r="AE10" s="524"/>
      <x:c r="AF10" s="524"/>
      <x:c r="AG10" s="524"/>
      <x:c r="AH10" s="524"/>
      <x:c r="AI10" s="524"/>
      <x:c r="AJ10" s="524"/>
      <x:c r="AK10" s="524"/>
      <x:c r="AL10" s="524"/>
      <x:c r="AM10" s="524"/>
      <x:c r="AN10" s="524"/>
      <x:c r="AO10" s="524"/>
    </x:row>
    <x:row r="11" s="14" customFormat="1" ht="30" customHeight="1">
      <x:c r="A11" s="529" t="inlineStr">
        <x:is>
          <x:t xml:space="preserve">Mã SP</x:t>
        </x:is>
      </x:c>
      <x:c r="B11" s="529" t="inlineStr">
        <x:is>
          <x:t xml:space="preserve">Tên sản phẩm</x:t>
        </x:is>
      </x:c>
      <x:c r="C11" s="529" t="inlineStr">
        <x:is>
          <x:t xml:space="preserve">Loại nhựa</x:t>
        </x:is>
      </x:c>
      <x:c r="D11" s="529" t="inlineStr">
        <x:is>
          <x:t xml:space="preserve">Khối lượng (g)</x:t>
        </x:is>
      </x:c>
      <x:c r="E11" s="529" t="inlineStr">
        <x:is>
          <x:t xml:space="preserve">Hao hụt %</x:t>
        </x:is>
      </x:c>
      <x:c r="F11" s="529" t="inlineStr">
        <x:is>
          <x:t xml:space="preserve">Giá nhựa/kg</x:t>
        </x:is>
      </x:c>
      <x:c r="G11" s="529" t="inlineStr">
        <x:is>
          <x:t xml:space="preserve">Cost nhựa</x:t>
        </x:is>
      </x:c>
      <x:c r="H11" s="529" t="inlineStr">
        <x:is>
          <x:t xml:space="preserve">Điện/đơn</x:t>
        </x:is>
      </x:c>
      <x:c r="I11" s="529" t="inlineStr">
        <x:is>
          <x:t xml:space="preserve">Khấu hao máy</x:t>
        </x:is>
      </x:c>
      <x:c r="J11" s="529" t="inlineStr">
        <x:is>
          <x:t xml:space="preserve">Nhân công</x:t>
        </x:is>
      </x:c>
      <x:c r="K11" s="529" t="inlineStr">
        <x:is>
          <x:t xml:space="preserve">Bao bì</x:t>
        </x:is>
      </x:c>
      <x:c r="L11" s="529" t="inlineStr">
        <x:is>
          <x:t xml:space="preserve">Chi phí khác</x:t>
        </x:is>
      </x:c>
      <x:c r="M11" s="529" t="inlineStr">
        <x:is>
          <x:t xml:space="preserve">COST</x:t>
        </x:is>
      </x:c>
      <x:c r="N11" s="529" t="inlineStr">
        <x:is>
          <x:t xml:space="preserve">Lợi nhuận mục tiêu</x:t>
        </x:is>
      </x:c>
      <x:c r="O11" s="529" t="inlineStr">
        <x:is>
          <x:t xml:space="preserve">TikTok - Loại shop</x:t>
        </x:is>
      </x:c>
      <x:c r="P11" s="529" t="inlineStr">
        <x:is>
          <x:t xml:space="preserve">TikTok - Danh mục</x:t>
        </x:is>
      </x:c>
      <x:c r="Q11" s="529" t="inlineStr">
        <x:is>
          <x:t xml:space="preserve">TikTok - Hoa hồng tra cứu</x:t>
        </x:is>
      </x:c>
      <x:c r="R11" s="529" t="inlineStr">
        <x:is>
          <x:t xml:space="preserve">TikTok - Override</x:t>
        </x:is>
      </x:c>
      <x:c r="S11" s="529" t="inlineStr">
        <x:is>
          <x:t xml:space="preserve">TikTok - Hoa hồng dùng</x:t>
        </x:is>
      </x:c>
      <x:c r="T11" s="529" t="inlineStr">
        <x:is>
          <x:t xml:space="preserve">TikTok - Giao dịch</x:t>
        </x:is>
      </x:c>
      <x:c r="U11" s="529" t="inlineStr">
        <x:is>
          <x:t xml:space="preserve">TikTok - Phí % khác</x:t>
        </x:is>
      </x:c>
      <x:c r="V11" s="529" t="inlineStr">
        <x:is>
          <x:t xml:space="preserve">TikTok - Giảm giá shop</x:t>
        </x:is>
      </x:c>
      <x:c r="W11" s="529" t="inlineStr">
        <x:is>
          <x:t xml:space="preserve">TikTok - Phí cố định/đơn</x:t>
        </x:is>
      </x:c>
      <x:c r="X11" s="529" t="inlineStr">
        <x:is>
          <x:t xml:space="preserve">TikTok - Giá bán tối thiểu</x:t>
        </x:is>
      </x:c>
      <x:c r="Y11" s="529" t="inlineStr">
        <x:is>
          <x:t xml:space="preserve">TikTok - Tổng phí</x:t>
        </x:is>
      </x:c>
      <x:c r="Z11" s="529" t="inlineStr">
        <x:is>
          <x:t xml:space="preserve">TikTok - Lợi nhuận</x:t>
        </x:is>
      </x:c>
      <x:c r="AA11" s="529" t="inlineStr">
        <x:is>
          <x:t xml:space="preserve">Shopee - Loại shop</x:t>
        </x:is>
      </x:c>
      <x:c r="AB11" s="529" t="inlineStr">
        <x:is>
          <x:t xml:space="preserve">Shopee - Danh mục</x:t>
        </x:is>
      </x:c>
      <x:c r="AC11" s="529" t="inlineStr">
        <x:is>
          <x:t xml:space="preserve">Shopee - Phí cố định tra cứu</x:t>
        </x:is>
      </x:c>
      <x:c r="AD11" s="529" t="inlineStr">
        <x:is>
          <x:t xml:space="preserve">Shopee - Override</x:t>
        </x:is>
      </x:c>
      <x:c r="AE11" s="529" t="inlineStr">
        <x:is>
          <x:t xml:space="preserve">Shopee - Phí cố định dùng</x:t>
        </x:is>
      </x:c>
      <x:c r="AF11" s="529" t="inlineStr">
        <x:is>
          <x:t xml:space="preserve">Shopee - Giao dịch</x:t>
        </x:is>
      </x:c>
      <x:c r="AG11" s="529" t="inlineStr">
        <x:is>
          <x:t xml:space="preserve">Shopee - Phí % khác/thuế</x:t>
        </x:is>
      </x:c>
      <x:c r="AH11" s="529" t="inlineStr">
        <x:is>
          <x:t xml:space="preserve">Shopee - Giảm giá shop</x:t>
        </x:is>
      </x:c>
      <x:c r="AI11" s="529" t="inlineStr">
        <x:is>
          <x:t xml:space="preserve">Shopee - Hạ tầng/đơn</x:t>
        </x:is>
      </x:c>
      <x:c r="AJ11" s="529" t="inlineStr">
        <x:is>
          <x:t xml:space="preserve">Shopee - Ship KH trả</x:t>
        </x:is>
      </x:c>
      <x:c r="AK11" s="529" t="inlineStr">
        <x:is>
          <x:t xml:space="preserve">Shopee - Khuyến mãi NH</x:t>
        </x:is>
      </x:c>
      <x:c r="AL11" s="529" t="inlineStr">
        <x:is>
          <x:t xml:space="preserve">Shopee - Giá bán tối thiểu</x:t>
        </x:is>
      </x:c>
      <x:c r="AM11" s="529" t="inlineStr">
        <x:is>
          <x:t xml:space="preserve">Shopee - Tổng phí</x:t>
        </x:is>
      </x:c>
      <x:c r="AN11" s="529" t="inlineStr">
        <x:is>
          <x:t xml:space="preserve">Shopee - Lợi nhuận</x:t>
        </x:is>
      </x:c>
      <x:c r="AO11" s="529" t="inlineStr">
        <x:is>
          <x:t xml:space="preserve">Trạng thái</x:t>
        </x:is>
      </x:c>
    </x:row>
    <x:row r="12">
      <x:c r="A12" s="557" t="str"/>
      <x:c r="B12" s="557" t="str"/>
      <x:c r="C12" s="557" t="inlineStr">
        <x:is>
          <x:t xml:space="preserve">PETG</x:t>
        </x:is>
      </x:c>
      <x:c r="D12" s="558" t="str"/>
      <x:c r="E12" s="566" t="n">
        <x:v>0.05</x:v>
      </x:c>
      <x:c r="F12" s="542" t="n">
        <x:f>IF(C12="","",IFERROR(VLOOKUP(C12,'3_Nhựa'!$A$4:$B$100,2,FALSE),""))</x:f>
        <x:v>0</x:v>
      </x:c>
      <x:c r="G12" s="527" t="str">
        <x:f>IF(OR(A12="",D12="",F12=""),"",D12*F12*(1+E12)/1000)</x:f>
      </x:c>
      <x:c r="H12" s="559" t="n">
        <x:v>0</x:v>
      </x:c>
      <x:c r="I12" s="559" t="n">
        <x:v>0</x:v>
      </x:c>
      <x:c r="J12" s="559" t="n">
        <x:v>0</x:v>
      </x:c>
      <x:c r="K12" s="559" t="n">
        <x:v>0</x:v>
      </x:c>
      <x:c r="L12" s="559" t="n">
        <x:v>0</x:v>
      </x:c>
      <x:c r="M12" s="527" t="str">
        <x:f>IF(A12="","",SUM(G12:L12))</x:f>
      </x:c>
      <x:c r="N12" s="527" t="str">
        <x:f>IF(M12="","",M12*$B$5)</x:f>
      </x:c>
      <x:c r="O12" s="557" t="inlineStr">
        <x:is>
          <x:t xml:space="preserve">Tiêu chuẩn</x:t>
        </x:is>
      </x:c>
      <x:c r="P12" s="557" t="inlineStr">
        <x:is>
          <x:t xml:space="preserve">Nhà cửa &amp; Đời sống</x:t>
        </x:is>
      </x:c>
      <x:c r="Q12" s="543" t="str">
        <x:f>IF(A12="","",IFERROR(VLOOKUP("TikTok|"&amp;O12&amp;"|"&amp;P12,'4_Phí sàn'!$A$4:$G$100,5,FALSE),0))</x:f>
      </x:c>
      <x:c r="R12" s="566" t="str"/>
      <x:c r="S12" s="540" t="str">
        <x:f>IF(A12="","",IF(R12&gt;0,R12,Q12))</x:f>
      </x:c>
      <x:c r="T12" s="540" t="str">
        <x:f>IF(A12="","",IFERROR(VLOOKUP("TikTok|"&amp;O12&amp;"|"&amp;P12,'4_Phí sàn'!$A$4:$G$100,6,FALSE),0))</x:f>
      </x:c>
      <x:c r="U12" s="540" t="str">
        <x:f>IF(A12="","",$B$6+$B$7)</x:f>
      </x:c>
      <x:c r="V12" s="566" t="n">
        <x:v>0</x:v>
      </x:c>
      <x:c r="W12" s="527" t="str">
        <x:f>IF(A12="","",IFERROR(VLOOKUP("TikTok|"&amp;O12&amp;"|"&amp;P12,'4_Phí sàn'!$A$4:$G$100,7,FALSE),3000))</x:f>
      </x:c>
      <x:c r="X12" s="527" t="str">
        <x:f>IF(OR(A12="",M12="",M12=0),"",CEILING((M12+N12+W12)/((1-V12)*(1-S12-T12-U12)),$D$5))</x:f>
      </x:c>
      <x:c r="Y12" s="527" t="str">
        <x:f>IF(X12="","",X12*(1-V12)*(S12+T12+U12)+W12)</x:f>
      </x:c>
      <x:c r="Z12" s="527" t="str">
        <x:f>IF(X12="","",X12*(1-V12)-Y12-M12)</x:f>
      </x:c>
      <x:c r="AA12" s="557" t="inlineStr">
        <x:is>
          <x:t xml:space="preserve">Shop thường</x:t>
        </x:is>
      </x:c>
      <x:c r="AB12" s="557" t="inlineStr">
        <x:is>
          <x:t xml:space="preserve">Nhà cửa &amp; Đời sống &gt; Đèn</x:t>
        </x:is>
      </x:c>
      <x:c r="AC12" s="543" t="str">
        <x:f>IF(A12="","",IFERROR(VLOOKUP("Shopee|"&amp;AA12&amp;"|"&amp;AB12,'4_Phí sàn'!$A$4:$G$100,5,FALSE),0))</x:f>
      </x:c>
      <x:c r="AD12" s="566" t="n"/>
      <x:c r="AE12" s="540" t="str">
        <x:f>IF(A12="","",IF(AD12&gt;0,AD12,AC12))</x:f>
      </x:c>
      <x:c r="AF12" s="540" t="str">
        <x:f>IF(A12="","",IFERROR(VLOOKUP("Shopee|"&amp;AA12&amp;"|"&amp;AB12,'4_Phí sàn'!$A$4:$G$100,6,FALSE),0.06))</x:f>
      </x:c>
      <x:c r="AG12" s="537" t="str">
        <x:f>IF(A12="","",$D$6+$B$7)</x:f>
      </x:c>
      <x:c r="AH12" s="566" t="n">
        <x:v>0</x:v>
      </x:c>
      <x:c r="AI12" s="567" t="str">
        <x:f>IF(A12="","",IFERROR(VLOOKUP("Shopee|"&amp;AA12&amp;"|"&amp;AB12,'4_Phí sàn'!$A$4:$G$100,7,FALSE),3000))</x:f>
      </x:c>
      <x:c r="AJ12" s="559" t="n">
        <x:v>0</x:v>
      </x:c>
      <x:c r="AK12" s="559" t="n">
        <x:v>0</x:v>
      </x:c>
      <x:c r="AL12" s="527" t="str">
        <x:f>IF(OR(A12="",M12="",M12=0),"",CEILING((M12+N12+AI12+(AJ12-AK12)*AF12)/((1-AH12)*(1-AE12-AF12-AG12)),$D$5))</x:f>
      </x:c>
      <x:c r="AM12" s="527" t="str">
        <x:f>IF(AL12="","",AL12*(1-AH12)*(AE12+AG12)+((AL12*(1-AH12)+AJ12-AK12)*AF12)+AI12)</x:f>
      </x:c>
      <x:c r="AN12" s="527" t="str">
        <x:f>IF(AL12="","",AL12*(1-AH12)-AM12-M12)</x:f>
      </x:c>
      <x:c r="AO12" s="534" t="str">
        <x:f>IF(A12="","",IF(B12="","⚠ NHẬP TÊN",IF(OR(D12="",F12="",F12=0),"⚠ NHẬP KHỐI LƯỢNG/GIÁ NHỰA",IF(OR(Q12=0,AC12=0),"⚠ KIỂM TRA PHÍ","OK"))))</x:f>
      </x:c>
    </x:row>
    <x:row r="13">
      <x:c r="A13" s="557" t="n"/>
      <x:c r="B13" s="557" t="n"/>
      <x:c r="C13" s="557" t="n"/>
      <x:c r="D13" s="558" t="n"/>
      <x:c r="E13" s="566" t="n"/>
      <x:c r="F13" s="542" t="str">
        <x:f>IF(C13="","",IFERROR(VLOOKUP(C13,'3_Nhựa'!$A$4:$B$100,2,FALSE),""))</x:f>
      </x:c>
      <x:c r="G13" s="527" t="str">
        <x:f>IF(OR(A13="",D13="",F13=""),"",D13*F13*(1+E13)/1000)</x:f>
      </x:c>
      <x:c r="H13" s="559" t="n"/>
      <x:c r="I13" s="559" t="n"/>
      <x:c r="J13" s="559" t="n"/>
      <x:c r="K13" s="559" t="n"/>
      <x:c r="L13" s="559" t="n"/>
      <x:c r="M13" s="527" t="str">
        <x:f>IF(A13="","",SUM(G13:L13))</x:f>
      </x:c>
      <x:c r="N13" s="527" t="str">
        <x:f>IF(M13="","",M13*$B$5)</x:f>
      </x:c>
      <x:c r="O13" s="557" t="n"/>
      <x:c r="P13" s="557" t="n"/>
      <x:c r="Q13" s="543" t="str">
        <x:f>IF(A13="","",IFERROR(VLOOKUP("TikTok|"&amp;O13&amp;"|"&amp;P13,'4_Phí sàn'!$A$4:$G$100,5,FALSE),0))</x:f>
      </x:c>
      <x:c r="R13" s="566" t="n"/>
      <x:c r="S13" s="540" t="str">
        <x:f>IF(A13="","",IF(R13&gt;0,R13,Q13))</x:f>
      </x:c>
      <x:c r="T13" s="540" t="str">
        <x:f>IF(A13="","",IFERROR(VLOOKUP("TikTok|"&amp;O13&amp;"|"&amp;P13,'4_Phí sàn'!$A$4:$G$100,6,FALSE),0))</x:f>
      </x:c>
      <x:c r="U13" s="540" t="str">
        <x:f>IF(A13="","",$B$6+$B$7)</x:f>
      </x:c>
      <x:c r="V13" s="566" t="n"/>
      <x:c r="W13" s="527" t="str">
        <x:f>IF(A13="","",IFERROR(VLOOKUP("TikTok|"&amp;O13&amp;"|"&amp;P13,'4_Phí sàn'!$A$4:$G$100,7,FALSE),3000))</x:f>
      </x:c>
      <x:c r="X13" s="527" t="str">
        <x:f>IF(OR(A13="",M13="",M13=0),"",CEILING((M13+N13+W13)/((1-V13)*(1-S13-T13-U13)),$D$5))</x:f>
      </x:c>
      <x:c r="Y13" s="527" t="str">
        <x:f>IF(X13="","",X13*(1-V13)*(S13+T13+U13)+W13)</x:f>
      </x:c>
      <x:c r="Z13" s="527" t="str">
        <x:f>IF(X13="","",X13*(1-V13)-Y13-M13)</x:f>
      </x:c>
      <x:c r="AA13" s="557" t="n"/>
      <x:c r="AB13" s="557" t="n"/>
      <x:c r="AC13" s="543" t="str">
        <x:f>IF(A13="","",IFERROR(VLOOKUP("Shopee|"&amp;AA13&amp;"|"&amp;AB13,'4_Phí sàn'!$A$4:$G$100,5,FALSE),0))</x:f>
      </x:c>
      <x:c r="AD13" s="566" t="n"/>
      <x:c r="AE13" s="540" t="str">
        <x:f>IF(A13="","",IF(AD13&gt;0,AD13,AC13))</x:f>
      </x:c>
      <x:c r="AF13" s="540" t="str">
        <x:f>IF(A13="","",IFERROR(VLOOKUP("Shopee|"&amp;AA13&amp;"|"&amp;AB13,'4_Phí sàn'!$A$4:$G$100,6,FALSE),0.06))</x:f>
      </x:c>
      <x:c r="AG13" s="537" t="str">
        <x:f>IF(A13="","",$D$6+$B$7)</x:f>
      </x:c>
      <x:c r="AH13" s="566" t="n">
        <x:f>$B$7</x:f>
        <x:v>0</x:v>
      </x:c>
      <x:c r="AI13" s="567" t="str">
        <x:f>IF(A13="","",IFERROR(VLOOKUP("Shopee|"&amp;AA13&amp;"|"&amp;AB13,'4_Phí sàn'!$A$4:$G$100,7,FALSE),3000))</x:f>
      </x:c>
      <x:c r="AJ13" s="559" t="n"/>
      <x:c r="AK13" s="559" t="n"/>
      <x:c r="AL13" s="527" t="str">
        <x:f>IF(OR(A13="",M13="",M13=0),"",CEILING((M13+N13+AI13+(AJ13-AK13)*AF13)/((1-AH13)*(1-AE13-AF13-AG13)),$D$5))</x:f>
      </x:c>
      <x:c r="AM13" s="527" t="str">
        <x:f>IF(AL13="","",AL13*(1-AH13)*(AE13+AG13)+((AL13*(1-AH13)+AJ13-AK13)*AF13)+AI13)</x:f>
      </x:c>
      <x:c r="AN13" s="527" t="str">
        <x:f>IF(AL13="","",AL13*(1-AH13)-AM13-M13)</x:f>
      </x:c>
      <x:c r="AO13" s="534" t="str">
        <x:f>IF(A13="","",IF(B13="","⚠ NHẬP TÊN",IF(OR(D13="",F13="",F13=0),"⚠ NHẬP KHỐI LƯỢNG/GIÁ NHỰA",IF(OR(Q13=0,AC13=0),"⚠ KIỂM TRA PHÍ","OK"))))</x:f>
      </x:c>
    </x:row>
    <x:row r="14">
      <x:c r="A14" s="557" t="n"/>
      <x:c r="B14" s="557" t="n"/>
      <x:c r="C14" s="557" t="n"/>
      <x:c r="D14" s="558" t="n"/>
      <x:c r="E14" s="566" t="n"/>
      <x:c r="F14" s="542" t="str">
        <x:f>IF(C14="","",IFERROR(VLOOKUP(C14,'3_Nhựa'!$A$4:$B$100,2,FALSE),""))</x:f>
      </x:c>
      <x:c r="G14" s="527" t="str">
        <x:f>IF(OR(A14="",D14="",F14=""),"",D14*F14*(1+E14)/1000)</x:f>
      </x:c>
      <x:c r="H14" s="559" t="n"/>
      <x:c r="I14" s="559" t="n"/>
      <x:c r="J14" s="559" t="n"/>
      <x:c r="K14" s="559" t="n"/>
      <x:c r="L14" s="559" t="n"/>
      <x:c r="M14" s="527" t="str">
        <x:f>IF(A14="","",SUM(G14:L14))</x:f>
      </x:c>
      <x:c r="N14" s="527" t="str">
        <x:f>IF(M14="","",M14*$B$5)</x:f>
      </x:c>
      <x:c r="O14" s="557" t="n"/>
      <x:c r="P14" s="557" t="n"/>
      <x:c r="Q14" s="543" t="str">
        <x:f>IF(A14="","",IFERROR(VLOOKUP("TikTok|"&amp;O14&amp;"|"&amp;P14,'4_Phí sàn'!$A$4:$G$100,5,FALSE),0))</x:f>
      </x:c>
      <x:c r="R14" s="566" t="n"/>
      <x:c r="S14" s="540" t="str">
        <x:f>IF(A14="","",IF(R14&gt;0,R14,Q14))</x:f>
      </x:c>
      <x:c r="T14" s="540" t="str">
        <x:f>IF(A14="","",IFERROR(VLOOKUP("TikTok|"&amp;O14&amp;"|"&amp;P14,'4_Phí sàn'!$A$4:$G$100,6,FALSE),0))</x:f>
      </x:c>
      <x:c r="U14" s="540" t="str">
        <x:f>IF(A14="","",$B$6+$B$7)</x:f>
      </x:c>
      <x:c r="V14" s="566" t="n"/>
      <x:c r="W14" s="527" t="str">
        <x:f>IF(A14="","",IFERROR(VLOOKUP("TikTok|"&amp;O14&amp;"|"&amp;P14,'4_Phí sàn'!$A$4:$G$100,7,FALSE),3000))</x:f>
      </x:c>
      <x:c r="X14" s="527" t="str">
        <x:f>IF(OR(A14="",M14="",M14=0),"",CEILING((M14+N14+W14)/((1-V14)*(1-S14-T14-U14)),$D$5))</x:f>
      </x:c>
      <x:c r="Y14" s="527" t="str">
        <x:f>IF(X14="","",X14*(1-V14)*(S14+T14+U14)+W14)</x:f>
      </x:c>
      <x:c r="Z14" s="527" t="str">
        <x:f>IF(X14="","",X14*(1-V14)-Y14-M14)</x:f>
      </x:c>
      <x:c r="AA14" s="557" t="n"/>
      <x:c r="AB14" s="557" t="n"/>
      <x:c r="AC14" s="543" t="str">
        <x:f>IF(A14="","",IFERROR(VLOOKUP("Shopee|"&amp;AA14&amp;"|"&amp;AB14,'4_Phí sàn'!$A$4:$G$100,5,FALSE),0))</x:f>
      </x:c>
      <x:c r="AD14" s="566" t="n"/>
      <x:c r="AE14" s="540" t="str">
        <x:f>IF(A14="","",IF(AD14&gt;0,AD14,AC14))</x:f>
      </x:c>
      <x:c r="AF14" s="540" t="str">
        <x:f>IF(A14="","",IFERROR(VLOOKUP("Shopee|"&amp;AA14&amp;"|"&amp;AB14,'4_Phí sàn'!$A$4:$G$100,6,FALSE),0.06))</x:f>
      </x:c>
      <x:c r="AG14" s="537" t="str">
        <x:f>IF(A14="","",$D$6+$B$7)</x:f>
      </x:c>
      <x:c r="AH14" s="566" t="n">
        <x:f>$B$7</x:f>
        <x:v>0</x:v>
      </x:c>
      <x:c r="AI14" s="567" t="str">
        <x:f>IF(A14="","",IFERROR(VLOOKUP("Shopee|"&amp;AA14&amp;"|"&amp;AB14,'4_Phí sàn'!$A$4:$G$100,7,FALSE),3000))</x:f>
      </x:c>
      <x:c r="AJ14" s="559" t="n"/>
      <x:c r="AK14" s="559" t="n"/>
      <x:c r="AL14" s="527" t="str">
        <x:f>IF(OR(A14="",M14="",M14=0),"",CEILING((M14+N14+AI14+(AJ14-AK14)*AF14)/((1-AH14)*(1-AE14-AF14-AG14)),$D$5))</x:f>
      </x:c>
      <x:c r="AM14" s="527" t="str">
        <x:f>IF(AL14="","",AL14*(1-AH14)*(AE14+AG14)+((AL14*(1-AH14)+AJ14-AK14)*AF14)+AI14)</x:f>
      </x:c>
      <x:c r="AN14" s="527" t="str">
        <x:f>IF(AL14="","",AL14*(1-AH14)-AM14-M14)</x:f>
      </x:c>
      <x:c r="AO14" s="534" t="str">
        <x:f>IF(A14="","",IF(B14="","⚠ NHẬP TÊN",IF(OR(D14="",F14="",F14=0),"⚠ NHẬP KHỐI LƯỢNG/GIÁ NHỰA",IF(OR(Q14=0,AC14=0),"⚠ KIỂM TRA PHÍ","OK"))))</x:f>
      </x:c>
    </x:row>
    <x:row r="15">
      <x:c r="A15" s="557" t="n"/>
      <x:c r="B15" s="557" t="n"/>
      <x:c r="C15" s="557" t="n"/>
      <x:c r="D15" s="558" t="n"/>
      <x:c r="E15" s="566" t="n"/>
      <x:c r="F15" s="542" t="str">
        <x:f>IF(C15="","",IFERROR(VLOOKUP(C15,'3_Nhựa'!$A$4:$B$100,2,FALSE),""))</x:f>
      </x:c>
      <x:c r="G15" s="527" t="str">
        <x:f>IF(OR(A15="",D15="",F15=""),"",D15*F15*(1+E15)/1000)</x:f>
      </x:c>
      <x:c r="H15" s="559" t="n"/>
      <x:c r="I15" s="559" t="n"/>
      <x:c r="J15" s="559" t="n"/>
      <x:c r="K15" s="559" t="n"/>
      <x:c r="L15" s="559" t="n"/>
      <x:c r="M15" s="527" t="str">
        <x:f>IF(A15="","",SUM(G15:L15))</x:f>
      </x:c>
      <x:c r="N15" s="527" t="str">
        <x:f>IF(M15="","",M15*$B$5)</x:f>
      </x:c>
      <x:c r="O15" s="557" t="n"/>
      <x:c r="P15" s="557" t="n"/>
      <x:c r="Q15" s="543" t="str">
        <x:f>IF(A15="","",IFERROR(VLOOKUP("TikTok|"&amp;O15&amp;"|"&amp;P15,'4_Phí sàn'!$A$4:$G$100,5,FALSE),0))</x:f>
      </x:c>
      <x:c r="R15" s="566" t="n"/>
      <x:c r="S15" s="540" t="str">
        <x:f>IF(A15="","",IF(R15&gt;0,R15,Q15))</x:f>
      </x:c>
      <x:c r="T15" s="540" t="str">
        <x:f>IF(A15="","",IFERROR(VLOOKUP("TikTok|"&amp;O15&amp;"|"&amp;P15,'4_Phí sàn'!$A$4:$G$100,6,FALSE),0))</x:f>
      </x:c>
      <x:c r="U15" s="540" t="str">
        <x:f>IF(A15="","",$B$6+$B$7)</x:f>
      </x:c>
      <x:c r="V15" s="566" t="n"/>
      <x:c r="W15" s="527" t="str">
        <x:f>IF(A15="","",IFERROR(VLOOKUP("TikTok|"&amp;O15&amp;"|"&amp;P15,'4_Phí sàn'!$A$4:$G$100,7,FALSE),3000))</x:f>
      </x:c>
      <x:c r="X15" s="527" t="str">
        <x:f>IF(OR(A15="",M15="",M15=0),"",CEILING((M15+N15+W15)/((1-V15)*(1-S15-T15-U15)),$D$5))</x:f>
      </x:c>
      <x:c r="Y15" s="527" t="str">
        <x:f>IF(X15="","",X15*(1-V15)*(S15+T15+U15)+W15)</x:f>
      </x:c>
      <x:c r="Z15" s="527" t="str">
        <x:f>IF(X15="","",X15*(1-V15)-Y15-M15)</x:f>
      </x:c>
      <x:c r="AA15" s="557" t="n"/>
      <x:c r="AB15" s="557" t="n"/>
      <x:c r="AC15" s="543" t="str">
        <x:f>IF(A15="","",IFERROR(VLOOKUP("Shopee|"&amp;AA15&amp;"|"&amp;AB15,'4_Phí sàn'!$A$4:$G$100,5,FALSE),0))</x:f>
      </x:c>
      <x:c r="AD15" s="566" t="n"/>
      <x:c r="AE15" s="540" t="str">
        <x:f>IF(A15="","",IF(AD15&gt;0,AD15,AC15))</x:f>
      </x:c>
      <x:c r="AF15" s="540" t="str">
        <x:f>IF(A15="","",IFERROR(VLOOKUP("Shopee|"&amp;AA15&amp;"|"&amp;AB15,'4_Phí sàn'!$A$4:$G$100,6,FALSE),0.06))</x:f>
      </x:c>
      <x:c r="AG15" s="537" t="str">
        <x:f>IF(A15="","",$D$6+$B$7)</x:f>
      </x:c>
      <x:c r="AH15" s="566" t="n">
        <x:f>$B$7</x:f>
        <x:v>0</x:v>
      </x:c>
      <x:c r="AI15" s="567" t="str">
        <x:f>IF(A15="","",IFERROR(VLOOKUP("Shopee|"&amp;AA15&amp;"|"&amp;AB15,'4_Phí sàn'!$A$4:$G$100,7,FALSE),3000))</x:f>
      </x:c>
      <x:c r="AJ15" s="559" t="n"/>
      <x:c r="AK15" s="559" t="n"/>
      <x:c r="AL15" s="527" t="str">
        <x:f>IF(OR(A15="",M15="",M15=0),"",CEILING((M15+N15+AI15+(AJ15-AK15)*AF15)/((1-AH15)*(1-AE15-AF15-AG15)),$D$5))</x:f>
      </x:c>
      <x:c r="AM15" s="527" t="str">
        <x:f>IF(AL15="","",AL15*(1-AH15)*(AE15+AG15)+((AL15*(1-AH15)+AJ15-AK15)*AF15)+AI15)</x:f>
      </x:c>
      <x:c r="AN15" s="527" t="str">
        <x:f>IF(AL15="","",AL15*(1-AH15)-AM15-M15)</x:f>
      </x:c>
      <x:c r="AO15" s="534" t="str">
        <x:f>IF(A15="","",IF(B15="","⚠ NHẬP TÊN",IF(OR(D15="",F15="",F15=0),"⚠ NHẬP KHỐI LƯỢNG/GIÁ NHỰA",IF(OR(Q15=0,AC15=0),"⚠ KIỂM TRA PHÍ","OK"))))</x:f>
      </x:c>
    </x:row>
    <x:row r="16">
      <x:c r="A16" s="557" t="n"/>
      <x:c r="B16" s="557" t="n"/>
      <x:c r="C16" s="557" t="n"/>
      <x:c r="D16" s="558" t="n"/>
      <x:c r="E16" s="566" t="n"/>
      <x:c r="F16" s="542" t="str">
        <x:f>IF(C16="","",IFERROR(VLOOKUP(C16,'3_Nhựa'!$A$4:$B$100,2,FALSE),""))</x:f>
      </x:c>
      <x:c r="G16" s="527" t="str">
        <x:f>IF(OR(A16="",D16="",F16=""),"",D16*F16*(1+E16)/1000)</x:f>
      </x:c>
      <x:c r="H16" s="559" t="n"/>
      <x:c r="I16" s="559" t="n"/>
      <x:c r="J16" s="559" t="n"/>
      <x:c r="K16" s="559" t="n"/>
      <x:c r="L16" s="559" t="n"/>
      <x:c r="M16" s="527" t="str">
        <x:f>IF(A16="","",SUM(G16:L16))</x:f>
      </x:c>
      <x:c r="N16" s="527" t="str">
        <x:f>IF(M16="","",M16*$B$5)</x:f>
      </x:c>
      <x:c r="O16" s="557" t="n"/>
      <x:c r="P16" s="557" t="n"/>
      <x:c r="Q16" s="543" t="str">
        <x:f>IF(A16="","",IFERROR(VLOOKUP("TikTok|"&amp;O16&amp;"|"&amp;P16,'4_Phí sàn'!$A$4:$G$100,5,FALSE),0))</x:f>
      </x:c>
      <x:c r="R16" s="566" t="n"/>
      <x:c r="S16" s="540" t="str">
        <x:f>IF(A16="","",IF(R16&gt;0,R16,Q16))</x:f>
      </x:c>
      <x:c r="T16" s="540" t="str">
        <x:f>IF(A16="","",IFERROR(VLOOKUP("TikTok|"&amp;O16&amp;"|"&amp;P16,'4_Phí sàn'!$A$4:$G$100,6,FALSE),0))</x:f>
      </x:c>
      <x:c r="U16" s="540" t="str">
        <x:f>IF(A16="","",$B$6+$B$7)</x:f>
      </x:c>
      <x:c r="V16" s="566" t="n"/>
      <x:c r="W16" s="527" t="str">
        <x:f>IF(A16="","",IFERROR(VLOOKUP("TikTok|"&amp;O16&amp;"|"&amp;P16,'4_Phí sàn'!$A$4:$G$100,7,FALSE),3000))</x:f>
      </x:c>
      <x:c r="X16" s="527" t="str">
        <x:f>IF(OR(A16="",M16="",M16=0),"",CEILING((M16+N16+W16)/((1-V16)*(1-S16-T16-U16)),$D$5))</x:f>
      </x:c>
      <x:c r="Y16" s="527" t="str">
        <x:f>IF(X16="","",X16*(1-V16)*(S16+T16+U16)+W16)</x:f>
      </x:c>
      <x:c r="Z16" s="527" t="str">
        <x:f>IF(X16="","",X16*(1-V16)-Y16-M16)</x:f>
      </x:c>
      <x:c r="AA16" s="557" t="n"/>
      <x:c r="AB16" s="557" t="n"/>
      <x:c r="AC16" s="543" t="str">
        <x:f>IF(A16="","",IFERROR(VLOOKUP("Shopee|"&amp;AA16&amp;"|"&amp;AB16,'4_Phí sàn'!$A$4:$G$100,5,FALSE),0))</x:f>
      </x:c>
      <x:c r="AD16" s="566" t="n"/>
      <x:c r="AE16" s="540" t="str">
        <x:f>IF(A16="","",IF(AD16&gt;0,AD16,AC16))</x:f>
      </x:c>
      <x:c r="AF16" s="540" t="str">
        <x:f>IF(A16="","",IFERROR(VLOOKUP("Shopee|"&amp;AA16&amp;"|"&amp;AB16,'4_Phí sàn'!$A$4:$G$100,6,FALSE),0.06))</x:f>
      </x:c>
      <x:c r="AG16" s="537" t="str">
        <x:f>IF(A16="","",$D$6+$B$7)</x:f>
      </x:c>
      <x:c r="AH16" s="566" t="n">
        <x:f>$B$7</x:f>
        <x:v>0</x:v>
      </x:c>
      <x:c r="AI16" s="567" t="str">
        <x:f>IF(A16="","",IFERROR(VLOOKUP("Shopee|"&amp;AA16&amp;"|"&amp;AB16,'4_Phí sàn'!$A$4:$G$100,7,FALSE),3000))</x:f>
      </x:c>
      <x:c r="AJ16" s="559" t="n"/>
      <x:c r="AK16" s="559" t="n"/>
      <x:c r="AL16" s="527" t="str">
        <x:f>IF(OR(A16="",M16="",M16=0),"",CEILING((M16+N16+AI16+(AJ16-AK16)*AF16)/((1-AH16)*(1-AE16-AF16-AG16)),$D$5))</x:f>
      </x:c>
      <x:c r="AM16" s="527" t="str">
        <x:f>IF(AL16="","",AL16*(1-AH16)*(AE16+AG16)+((AL16*(1-AH16)+AJ16-AK16)*AF16)+AI16)</x:f>
      </x:c>
      <x:c r="AN16" s="527" t="str">
        <x:f>IF(AL16="","",AL16*(1-AH16)-AM16-M16)</x:f>
      </x:c>
      <x:c r="AO16" s="534" t="str">
        <x:f>IF(A16="","",IF(B16="","⚠ NHẬP TÊN",IF(OR(D16="",F16="",F16=0),"⚠ NHẬP KHỐI LƯỢNG/GIÁ NHỰA",IF(OR(Q16=0,AC16=0),"⚠ KIỂM TRA PHÍ","OK"))))</x:f>
      </x:c>
    </x:row>
    <x:row r="17">
      <x:c r="A17" s="557" t="n"/>
      <x:c r="B17" s="557" t="n"/>
      <x:c r="C17" s="557" t="n"/>
      <x:c r="D17" s="558" t="n"/>
      <x:c r="E17" s="566" t="n"/>
      <x:c r="F17" s="542" t="str">
        <x:f>IF(C17="","",IFERROR(VLOOKUP(C17,'3_Nhựa'!$A$4:$B$100,2,FALSE),""))</x:f>
      </x:c>
      <x:c r="G17" s="527" t="str">
        <x:f>IF(OR(A17="",D17="",F17=""),"",D17*F17*(1+E17)/1000)</x:f>
      </x:c>
      <x:c r="H17" s="559" t="n"/>
      <x:c r="I17" s="559" t="n"/>
      <x:c r="J17" s="559" t="n"/>
      <x:c r="K17" s="559" t="n"/>
      <x:c r="L17" s="559" t="n"/>
      <x:c r="M17" s="527" t="str">
        <x:f>IF(A17="","",SUM(G17:L17))</x:f>
      </x:c>
      <x:c r="N17" s="527" t="str">
        <x:f>IF(M17="","",M17*$B$5)</x:f>
      </x:c>
      <x:c r="O17" s="557" t="n"/>
      <x:c r="P17" s="557" t="n"/>
      <x:c r="Q17" s="543" t="str">
        <x:f>IF(A17="","",IFERROR(VLOOKUP("TikTok|"&amp;O17&amp;"|"&amp;P17,'4_Phí sàn'!$A$4:$G$100,5,FALSE),0))</x:f>
      </x:c>
      <x:c r="R17" s="566" t="n"/>
      <x:c r="S17" s="540" t="str">
        <x:f>IF(A17="","",IF(R17&gt;0,R17,Q17))</x:f>
      </x:c>
      <x:c r="T17" s="540" t="str">
        <x:f>IF(A17="","",IFERROR(VLOOKUP("TikTok|"&amp;O17&amp;"|"&amp;P17,'4_Phí sàn'!$A$4:$G$100,6,FALSE),0))</x:f>
      </x:c>
      <x:c r="U17" s="540" t="str">
        <x:f>IF(A17="","",$B$6+$B$7)</x:f>
      </x:c>
      <x:c r="V17" s="566" t="n"/>
      <x:c r="W17" s="527" t="str">
        <x:f>IF(A17="","",IFERROR(VLOOKUP("TikTok|"&amp;O17&amp;"|"&amp;P17,'4_Phí sàn'!$A$4:$G$100,7,FALSE),3000))</x:f>
      </x:c>
      <x:c r="X17" s="527" t="str">
        <x:f>IF(OR(A17="",M17="",M17=0),"",CEILING((M17+N17+W17)/((1-V17)*(1-S17-T17-U17)),$D$5))</x:f>
      </x:c>
      <x:c r="Y17" s="527" t="str">
        <x:f>IF(X17="","",X17*(1-V17)*(S17+T17+U17)+W17)</x:f>
      </x:c>
      <x:c r="Z17" s="527" t="str">
        <x:f>IF(X17="","",X17*(1-V17)-Y17-M17)</x:f>
      </x:c>
      <x:c r="AA17" s="557" t="n"/>
      <x:c r="AB17" s="557" t="n"/>
      <x:c r="AC17" s="543" t="str">
        <x:f>IF(A17="","",IFERROR(VLOOKUP("Shopee|"&amp;AA17&amp;"|"&amp;AB17,'4_Phí sàn'!$A$4:$G$100,5,FALSE),0))</x:f>
      </x:c>
      <x:c r="AD17" s="566" t="n"/>
      <x:c r="AE17" s="540" t="str">
        <x:f>IF(A17="","",IF(AD17&gt;0,AD17,AC17))</x:f>
      </x:c>
      <x:c r="AF17" s="540" t="str">
        <x:f>IF(A17="","",IFERROR(VLOOKUP("Shopee|"&amp;AA17&amp;"|"&amp;AB17,'4_Phí sàn'!$A$4:$G$100,6,FALSE),0.06))</x:f>
      </x:c>
      <x:c r="AG17" s="537" t="str">
        <x:f>IF(A17="","",$D$6+$B$7)</x:f>
      </x:c>
      <x:c r="AH17" s="566" t="n">
        <x:f>$B$7</x:f>
        <x:v>0</x:v>
      </x:c>
      <x:c r="AI17" s="567" t="str">
        <x:f>IF(A17="","",IFERROR(VLOOKUP("Shopee|"&amp;AA17&amp;"|"&amp;AB17,'4_Phí sàn'!$A$4:$G$100,7,FALSE),3000))</x:f>
      </x:c>
      <x:c r="AJ17" s="559" t="n"/>
      <x:c r="AK17" s="559" t="n"/>
      <x:c r="AL17" s="527" t="str">
        <x:f>IF(OR(A17="",M17="",M17=0),"",CEILING((M17+N17+AI17+(AJ17-AK17)*AF17)/((1-AH17)*(1-AE17-AF17-AG17)),$D$5))</x:f>
      </x:c>
      <x:c r="AM17" s="527" t="str">
        <x:f>IF(AL17="","",AL17*(1-AH17)*(AE17+AG17)+((AL17*(1-AH17)+AJ17-AK17)*AF17)+AI17)</x:f>
      </x:c>
      <x:c r="AN17" s="527" t="str">
        <x:f>IF(AL17="","",AL17*(1-AH17)-AM17-M17)</x:f>
      </x:c>
      <x:c r="AO17" s="534" t="str">
        <x:f>IF(A17="","",IF(B17="","⚠ NHẬP TÊN",IF(OR(D17="",F17="",F17=0),"⚠ NHẬP KHỐI LƯỢNG/GIÁ NHỰA",IF(OR(Q17=0,AC17=0),"⚠ KIỂM TRA PHÍ","OK"))))</x:f>
      </x:c>
    </x:row>
    <x:row r="18">
      <x:c r="A18" s="557" t="n"/>
      <x:c r="B18" s="557" t="n"/>
      <x:c r="C18" s="557" t="n"/>
      <x:c r="D18" s="558" t="n"/>
      <x:c r="E18" s="566" t="n"/>
      <x:c r="F18" s="542" t="str">
        <x:f>IF(C18="","",IFERROR(VLOOKUP(C18,'3_Nhựa'!$A$4:$B$100,2,FALSE),""))</x:f>
      </x:c>
      <x:c r="G18" s="527" t="str">
        <x:f>IF(OR(A18="",D18="",F18=""),"",D18*F18*(1+E18)/1000)</x:f>
      </x:c>
      <x:c r="H18" s="559" t="n"/>
      <x:c r="I18" s="559" t="n"/>
      <x:c r="J18" s="559" t="n"/>
      <x:c r="K18" s="559" t="n"/>
      <x:c r="L18" s="559" t="n"/>
      <x:c r="M18" s="527" t="str">
        <x:f>IF(A18="","",SUM(G18:L18))</x:f>
      </x:c>
      <x:c r="N18" s="527" t="str">
        <x:f>IF(M18="","",M18*$B$5)</x:f>
      </x:c>
      <x:c r="O18" s="557" t="n"/>
      <x:c r="P18" s="557" t="n"/>
      <x:c r="Q18" s="543" t="str">
        <x:f>IF(A18="","",IFERROR(VLOOKUP("TikTok|"&amp;O18&amp;"|"&amp;P18,'4_Phí sàn'!$A$4:$G$100,5,FALSE),0))</x:f>
      </x:c>
      <x:c r="R18" s="566" t="n"/>
      <x:c r="S18" s="540" t="str">
        <x:f>IF(A18="","",IF(R18&gt;0,R18,Q18))</x:f>
      </x:c>
      <x:c r="T18" s="540" t="str">
        <x:f>IF(A18="","",IFERROR(VLOOKUP("TikTok|"&amp;O18&amp;"|"&amp;P18,'4_Phí sàn'!$A$4:$G$100,6,FALSE),0))</x:f>
      </x:c>
      <x:c r="U18" s="540" t="str">
        <x:f>IF(A18="","",$B$6+$B$7)</x:f>
      </x:c>
      <x:c r="V18" s="566" t="n"/>
      <x:c r="W18" s="527" t="str">
        <x:f>IF(A18="","",IFERROR(VLOOKUP("TikTok|"&amp;O18&amp;"|"&amp;P18,'4_Phí sàn'!$A$4:$G$100,7,FALSE),3000))</x:f>
      </x:c>
      <x:c r="X18" s="527" t="str">
        <x:f>IF(OR(A18="",M18="",M18=0),"",CEILING((M18+N18+W18)/((1-V18)*(1-S18-T18-U18)),$D$5))</x:f>
      </x:c>
      <x:c r="Y18" s="527" t="str">
        <x:f>IF(X18="","",X18*(1-V18)*(S18+T18+U18)+W18)</x:f>
      </x:c>
      <x:c r="Z18" s="527" t="str">
        <x:f>IF(X18="","",X18*(1-V18)-Y18-M18)</x:f>
      </x:c>
      <x:c r="AA18" s="557" t="n"/>
      <x:c r="AB18" s="557" t="n"/>
      <x:c r="AC18" s="543" t="str">
        <x:f>IF(A18="","",IFERROR(VLOOKUP("Shopee|"&amp;AA18&amp;"|"&amp;AB18,'4_Phí sàn'!$A$4:$G$100,5,FALSE),0))</x:f>
      </x:c>
      <x:c r="AD18" s="566" t="n"/>
      <x:c r="AE18" s="540" t="str">
        <x:f>IF(A18="","",IF(AD18&gt;0,AD18,AC18))</x:f>
      </x:c>
      <x:c r="AF18" s="540" t="str">
        <x:f>IF(A18="","",IFERROR(VLOOKUP("Shopee|"&amp;AA18&amp;"|"&amp;AB18,'4_Phí sàn'!$A$4:$G$100,6,FALSE),0.06))</x:f>
      </x:c>
      <x:c r="AG18" s="537" t="str">
        <x:f>IF(A18="","",$D$6+$B$7)</x:f>
      </x:c>
      <x:c r="AH18" s="566" t="n">
        <x:f>$B$7</x:f>
        <x:v>0</x:v>
      </x:c>
      <x:c r="AI18" s="567" t="str">
        <x:f>IF(A18="","",IFERROR(VLOOKUP("Shopee|"&amp;AA18&amp;"|"&amp;AB18,'4_Phí sàn'!$A$4:$G$100,7,FALSE),3000))</x:f>
      </x:c>
      <x:c r="AJ18" s="559" t="n"/>
      <x:c r="AK18" s="559" t="n"/>
      <x:c r="AL18" s="527" t="str">
        <x:f>IF(OR(A18="",M18="",M18=0),"",CEILING((M18+N18+AI18+(AJ18-AK18)*AF18)/((1-AH18)*(1-AE18-AF18-AG18)),$D$5))</x:f>
      </x:c>
      <x:c r="AM18" s="527" t="str">
        <x:f>IF(AL18="","",AL18*(1-AH18)*(AE18+AG18)+((AL18*(1-AH18)+AJ18-AK18)*AF18)+AI18)</x:f>
      </x:c>
      <x:c r="AN18" s="527" t="str">
        <x:f>IF(AL18="","",AL18*(1-AH18)-AM18-M18)</x:f>
      </x:c>
      <x:c r="AO18" s="534" t="str">
        <x:f>IF(A18="","",IF(B18="","⚠ NHẬP TÊN",IF(OR(D18="",F18="",F18=0),"⚠ NHẬP KHỐI LƯỢNG/GIÁ NHỰA",IF(OR(Q18=0,AC18=0),"⚠ KIỂM TRA PHÍ","OK"))))</x:f>
      </x:c>
    </x:row>
    <x:row r="19">
      <x:c r="A19" s="557" t="n"/>
      <x:c r="B19" s="557" t="n"/>
      <x:c r="C19" s="557" t="n"/>
      <x:c r="D19" s="558" t="n"/>
      <x:c r="E19" s="566" t="n"/>
      <x:c r="F19" s="542" t="str">
        <x:f>IF(C19="","",IFERROR(VLOOKUP(C19,'3_Nhựa'!$A$4:$B$100,2,FALSE),""))</x:f>
      </x:c>
      <x:c r="G19" s="527" t="str">
        <x:f>IF(OR(A19="",D19="",F19=""),"",D19*F19*(1+E19)/1000)</x:f>
      </x:c>
      <x:c r="H19" s="559" t="n"/>
      <x:c r="I19" s="559" t="n"/>
      <x:c r="J19" s="559" t="n"/>
      <x:c r="K19" s="559" t="n"/>
      <x:c r="L19" s="559" t="n"/>
      <x:c r="M19" s="527" t="str">
        <x:f>IF(A19="","",SUM(G19:L19))</x:f>
      </x:c>
      <x:c r="N19" s="527" t="str">
        <x:f>IF(M19="","",M19*$B$5)</x:f>
      </x:c>
      <x:c r="O19" s="557" t="n"/>
      <x:c r="P19" s="557" t="n"/>
      <x:c r="Q19" s="543" t="str">
        <x:f>IF(A19="","",IFERROR(VLOOKUP("TikTok|"&amp;O19&amp;"|"&amp;P19,'4_Phí sàn'!$A$4:$G$100,5,FALSE),0))</x:f>
      </x:c>
      <x:c r="R19" s="566" t="n"/>
      <x:c r="S19" s="540" t="str">
        <x:f>IF(A19="","",IF(R19&gt;0,R19,Q19))</x:f>
      </x:c>
      <x:c r="T19" s="540" t="str">
        <x:f>IF(A19="","",IFERROR(VLOOKUP("TikTok|"&amp;O19&amp;"|"&amp;P19,'4_Phí sàn'!$A$4:$G$100,6,FALSE),0))</x:f>
      </x:c>
      <x:c r="U19" s="540" t="str">
        <x:f>IF(A19="","",$B$6+$B$7)</x:f>
      </x:c>
      <x:c r="V19" s="566" t="n"/>
      <x:c r="W19" s="527" t="str">
        <x:f>IF(A19="","",IFERROR(VLOOKUP("TikTok|"&amp;O19&amp;"|"&amp;P19,'4_Phí sàn'!$A$4:$G$100,7,FALSE),3000))</x:f>
      </x:c>
      <x:c r="X19" s="527" t="str">
        <x:f>IF(OR(A19="",M19="",M19=0),"",CEILING((M19+N19+W19)/((1-V19)*(1-S19-T19-U19)),$D$5))</x:f>
      </x:c>
      <x:c r="Y19" s="527" t="str">
        <x:f>IF(X19="","",X19*(1-V19)*(S19+T19+U19)+W19)</x:f>
      </x:c>
      <x:c r="Z19" s="527" t="str">
        <x:f>IF(X19="","",X19*(1-V19)-Y19-M19)</x:f>
      </x:c>
      <x:c r="AA19" s="557" t="n"/>
      <x:c r="AB19" s="557" t="n"/>
      <x:c r="AC19" s="543" t="str">
        <x:f>IF(A19="","",IFERROR(VLOOKUP("Shopee|"&amp;AA19&amp;"|"&amp;AB19,'4_Phí sàn'!$A$4:$G$100,5,FALSE),0))</x:f>
      </x:c>
      <x:c r="AD19" s="566" t="n"/>
      <x:c r="AE19" s="540" t="str">
        <x:f>IF(A19="","",IF(AD19&gt;0,AD19,AC19))</x:f>
      </x:c>
      <x:c r="AF19" s="540" t="str">
        <x:f>IF(A19="","",IFERROR(VLOOKUP("Shopee|"&amp;AA19&amp;"|"&amp;AB19,'4_Phí sàn'!$A$4:$G$100,6,FALSE),0.06))</x:f>
      </x:c>
      <x:c r="AG19" s="537" t="str">
        <x:f>IF(A19="","",$D$6+$B$7)</x:f>
      </x:c>
      <x:c r="AH19" s="566" t="n">
        <x:f>$B$7</x:f>
        <x:v>0</x:v>
      </x:c>
      <x:c r="AI19" s="567" t="str">
        <x:f>IF(A19="","",IFERROR(VLOOKUP("Shopee|"&amp;AA19&amp;"|"&amp;AB19,'4_Phí sàn'!$A$4:$G$100,7,FALSE),3000))</x:f>
      </x:c>
      <x:c r="AJ19" s="559" t="n"/>
      <x:c r="AK19" s="559" t="n"/>
      <x:c r="AL19" s="527" t="str">
        <x:f>IF(OR(A19="",M19="",M19=0),"",CEILING((M19+N19+AI19+(AJ19-AK19)*AF19)/((1-AH19)*(1-AE19-AF19-AG19)),$D$5))</x:f>
      </x:c>
      <x:c r="AM19" s="527" t="str">
        <x:f>IF(AL19="","",AL19*(1-AH19)*(AE19+AG19)+((AL19*(1-AH19)+AJ19-AK19)*AF19)+AI19)</x:f>
      </x:c>
      <x:c r="AN19" s="527" t="str">
        <x:f>IF(AL19="","",AL19*(1-AH19)-AM19-M19)</x:f>
      </x:c>
      <x:c r="AO19" s="534" t="str">
        <x:f>IF(A19="","",IF(B19="","⚠ NHẬP TÊN",IF(OR(D19="",F19="",F19=0),"⚠ NHẬP KHỐI LƯỢNG/GIÁ NHỰA",IF(OR(Q19=0,AC19=0),"⚠ KIỂM TRA PHÍ","OK"))))</x:f>
      </x:c>
    </x:row>
    <x:row r="20">
      <x:c r="A20" s="557" t="n"/>
      <x:c r="B20" s="557" t="n"/>
      <x:c r="C20" s="557" t="n"/>
      <x:c r="D20" s="558" t="n"/>
      <x:c r="E20" s="566" t="n"/>
      <x:c r="F20" s="542" t="str">
        <x:f>IF(C20="","",IFERROR(VLOOKUP(C20,'3_Nhựa'!$A$4:$B$100,2,FALSE),""))</x:f>
      </x:c>
      <x:c r="G20" s="527" t="str">
        <x:f>IF(OR(A20="",D20="",F20=""),"",D20*F20*(1+E20)/1000)</x:f>
      </x:c>
      <x:c r="H20" s="559" t="n"/>
      <x:c r="I20" s="559" t="n"/>
      <x:c r="J20" s="559" t="n"/>
      <x:c r="K20" s="559" t="n"/>
      <x:c r="L20" s="559" t="n"/>
      <x:c r="M20" s="527" t="str">
        <x:f>IF(A20="","",SUM(G20:L20))</x:f>
      </x:c>
      <x:c r="N20" s="527" t="str">
        <x:f>IF(M20="","",M20*$B$5)</x:f>
      </x:c>
      <x:c r="O20" s="557" t="n"/>
      <x:c r="P20" s="557" t="n"/>
      <x:c r="Q20" s="543" t="str">
        <x:f>IF(A20="","",IFERROR(VLOOKUP("TikTok|"&amp;O20&amp;"|"&amp;P20,'4_Phí sàn'!$A$4:$G$100,5,FALSE),0))</x:f>
      </x:c>
      <x:c r="R20" s="566" t="n"/>
      <x:c r="S20" s="540" t="str">
        <x:f>IF(A20="","",IF(R20&gt;0,R20,Q20))</x:f>
      </x:c>
      <x:c r="T20" s="540" t="str">
        <x:f>IF(A20="","",IFERROR(VLOOKUP("TikTok|"&amp;O20&amp;"|"&amp;P20,'4_Phí sàn'!$A$4:$G$100,6,FALSE),0))</x:f>
      </x:c>
      <x:c r="U20" s="540" t="str">
        <x:f>IF(A20="","",$B$6+$B$7)</x:f>
      </x:c>
      <x:c r="V20" s="566" t="n"/>
      <x:c r="W20" s="527" t="str">
        <x:f>IF(A20="","",IFERROR(VLOOKUP("TikTok|"&amp;O20&amp;"|"&amp;P20,'4_Phí sàn'!$A$4:$G$100,7,FALSE),3000))</x:f>
      </x:c>
      <x:c r="X20" s="527" t="str">
        <x:f>IF(OR(A20="",M20="",M20=0),"",CEILING((M20+N20+W20)/((1-V20)*(1-S20-T20-U20)),$D$5))</x:f>
      </x:c>
      <x:c r="Y20" s="527" t="str">
        <x:f>IF(X20="","",X20*(1-V20)*(S20+T20+U20)+W20)</x:f>
      </x:c>
      <x:c r="Z20" s="527" t="str">
        <x:f>IF(X20="","",X20*(1-V20)-Y20-M20)</x:f>
      </x:c>
      <x:c r="AA20" s="557" t="n"/>
      <x:c r="AB20" s="557" t="n"/>
      <x:c r="AC20" s="543" t="str">
        <x:f>IF(A20="","",IFERROR(VLOOKUP("Shopee|"&amp;AA20&amp;"|"&amp;AB20,'4_Phí sàn'!$A$4:$G$100,5,FALSE),0))</x:f>
      </x:c>
      <x:c r="AD20" s="566" t="n"/>
      <x:c r="AE20" s="540" t="str">
        <x:f>IF(A20="","",IF(AD20&gt;0,AD20,AC20))</x:f>
      </x:c>
      <x:c r="AF20" s="540" t="str">
        <x:f>IF(A20="","",IFERROR(VLOOKUP("Shopee|"&amp;AA20&amp;"|"&amp;AB20,'4_Phí sàn'!$A$4:$G$100,6,FALSE),0.06))</x:f>
      </x:c>
      <x:c r="AG20" s="537" t="str">
        <x:f>IF(A20="","",$D$6+$B$7)</x:f>
      </x:c>
      <x:c r="AH20" s="566" t="n">
        <x:f>$B$7</x:f>
        <x:v>0</x:v>
      </x:c>
      <x:c r="AI20" s="567" t="str">
        <x:f>IF(A20="","",IFERROR(VLOOKUP("Shopee|"&amp;AA20&amp;"|"&amp;AB20,'4_Phí sàn'!$A$4:$G$100,7,FALSE),3000))</x:f>
      </x:c>
      <x:c r="AJ20" s="559" t="n"/>
      <x:c r="AK20" s="559" t="n"/>
      <x:c r="AL20" s="527" t="str">
        <x:f>IF(OR(A20="",M20="",M20=0),"",CEILING((M20+N20+AI20+(AJ20-AK20)*AF20)/((1-AH20)*(1-AE20-AF20-AG20)),$D$5))</x:f>
      </x:c>
      <x:c r="AM20" s="527" t="str">
        <x:f>IF(AL20="","",AL20*(1-AH20)*(AE20+AG20)+((AL20*(1-AH20)+AJ20-AK20)*AF20)+AI20)</x:f>
      </x:c>
      <x:c r="AN20" s="527" t="str">
        <x:f>IF(AL20="","",AL20*(1-AH20)-AM20-M20)</x:f>
      </x:c>
      <x:c r="AO20" s="534" t="str">
        <x:f>IF(A20="","",IF(B20="","⚠ NHẬP TÊN",IF(OR(D20="",F20="",F20=0),"⚠ NHẬP KHỐI LƯỢNG/GIÁ NHỰA",IF(OR(Q20=0,AC20=0),"⚠ KIỂM TRA PHÍ","OK"))))</x:f>
      </x:c>
    </x:row>
    <x:row r="21">
      <x:c r="A21" s="557" t="n"/>
      <x:c r="B21" s="557" t="n"/>
      <x:c r="C21" s="557" t="n"/>
      <x:c r="D21" s="558" t="n"/>
      <x:c r="E21" s="566" t="n"/>
      <x:c r="F21" s="542" t="str">
        <x:f>IF(C21="","",IFERROR(VLOOKUP(C21,'3_Nhựa'!$A$4:$B$100,2,FALSE),""))</x:f>
      </x:c>
      <x:c r="G21" s="527" t="str">
        <x:f>IF(OR(A21="",D21="",F21=""),"",D21*F21*(1+E21)/1000)</x:f>
      </x:c>
      <x:c r="H21" s="559" t="n"/>
      <x:c r="I21" s="559" t="n"/>
      <x:c r="J21" s="559" t="n"/>
      <x:c r="K21" s="559" t="n"/>
      <x:c r="L21" s="559" t="n"/>
      <x:c r="M21" s="527" t="str">
        <x:f>IF(A21="","",SUM(G21:L21))</x:f>
      </x:c>
      <x:c r="N21" s="527" t="str">
        <x:f>IF(M21="","",M21*$B$5)</x:f>
      </x:c>
      <x:c r="O21" s="557" t="n"/>
      <x:c r="P21" s="557" t="n"/>
      <x:c r="Q21" s="543" t="str">
        <x:f>IF(A21="","",IFERROR(VLOOKUP("TikTok|"&amp;O21&amp;"|"&amp;P21,'4_Phí sàn'!$A$4:$G$100,5,FALSE),0))</x:f>
      </x:c>
      <x:c r="R21" s="566" t="n"/>
      <x:c r="S21" s="540" t="str">
        <x:f>IF(A21="","",IF(R21&gt;0,R21,Q21))</x:f>
      </x:c>
      <x:c r="T21" s="540" t="str">
        <x:f>IF(A21="","",IFERROR(VLOOKUP("TikTok|"&amp;O21&amp;"|"&amp;P21,'4_Phí sàn'!$A$4:$G$100,6,FALSE),0))</x:f>
      </x:c>
      <x:c r="U21" s="540" t="str">
        <x:f>IF(A21="","",$B$6+$B$7)</x:f>
      </x:c>
      <x:c r="V21" s="566" t="n"/>
      <x:c r="W21" s="527" t="str">
        <x:f>IF(A21="","",IFERROR(VLOOKUP("TikTok|"&amp;O21&amp;"|"&amp;P21,'4_Phí sàn'!$A$4:$G$100,7,FALSE),3000))</x:f>
      </x:c>
      <x:c r="X21" s="527" t="str">
        <x:f>IF(OR(A21="",M21="",M21=0),"",CEILING((M21+N21+W21)/((1-V21)*(1-S21-T21-U21)),$D$5))</x:f>
      </x:c>
      <x:c r="Y21" s="527" t="str">
        <x:f>IF(X21="","",X21*(1-V21)*(S21+T21+U21)+W21)</x:f>
      </x:c>
      <x:c r="Z21" s="527" t="str">
        <x:f>IF(X21="","",X21*(1-V21)-Y21-M21)</x:f>
      </x:c>
      <x:c r="AA21" s="557" t="n"/>
      <x:c r="AB21" s="557" t="n"/>
      <x:c r="AC21" s="543" t="str">
        <x:f>IF(A21="","",IFERROR(VLOOKUP("Shopee|"&amp;AA21&amp;"|"&amp;AB21,'4_Phí sàn'!$A$4:$G$100,5,FALSE),0))</x:f>
      </x:c>
      <x:c r="AD21" s="566" t="n"/>
      <x:c r="AE21" s="540" t="str">
        <x:f>IF(A21="","",IF(AD21&gt;0,AD21,AC21))</x:f>
      </x:c>
      <x:c r="AF21" s="540" t="str">
        <x:f>IF(A21="","",IFERROR(VLOOKUP("Shopee|"&amp;AA21&amp;"|"&amp;AB21,'4_Phí sàn'!$A$4:$G$100,6,FALSE),0.06))</x:f>
      </x:c>
      <x:c r="AG21" s="537" t="str">
        <x:f>IF(A21="","",$D$6+$B$7)</x:f>
      </x:c>
      <x:c r="AH21" s="566" t="n">
        <x:f>$B$7</x:f>
        <x:v>0</x:v>
      </x:c>
      <x:c r="AI21" s="567" t="str">
        <x:f>IF(A21="","",IFERROR(VLOOKUP("Shopee|"&amp;AA21&amp;"|"&amp;AB21,'4_Phí sàn'!$A$4:$G$100,7,FALSE),3000))</x:f>
      </x:c>
      <x:c r="AJ21" s="559" t="n"/>
      <x:c r="AK21" s="559" t="n"/>
      <x:c r="AL21" s="527" t="str">
        <x:f>IF(OR(A21="",M21="",M21=0),"",CEILING((M21+N21+AI21+(AJ21-AK21)*AF21)/((1-AH21)*(1-AE21-AF21-AG21)),$D$5))</x:f>
      </x:c>
      <x:c r="AM21" s="527" t="str">
        <x:f>IF(AL21="","",AL21*(1-AH21)*(AE21+AG21)+((AL21*(1-AH21)+AJ21-AK21)*AF21)+AI21)</x:f>
      </x:c>
      <x:c r="AN21" s="527" t="str">
        <x:f>IF(AL21="","",AL21*(1-AH21)-AM21-M21)</x:f>
      </x:c>
      <x:c r="AO21" s="534" t="str">
        <x:f>IF(A21="","",IF(B21="","⚠ NHẬP TÊN",IF(OR(D21="",F21="",F21=0),"⚠ NHẬP KHỐI LƯỢNG/GIÁ NHỰA",IF(OR(Q21=0,AC21=0),"⚠ KIỂM TRA PHÍ","OK"))))</x:f>
      </x:c>
    </x:row>
    <x:row r="22">
      <x:c r="A22" s="557" t="n"/>
      <x:c r="B22" s="557" t="n"/>
      <x:c r="C22" s="557" t="n"/>
      <x:c r="D22" s="558" t="n"/>
      <x:c r="E22" s="566" t="n"/>
      <x:c r="F22" s="542" t="str">
        <x:f>IF(C22="","",IFERROR(VLOOKUP(C22,'3_Nhựa'!$A$4:$B$100,2,FALSE),""))</x:f>
      </x:c>
      <x:c r="G22" s="527" t="str">
        <x:f>IF(OR(A22="",D22="",F22=""),"",D22*F22*(1+E22)/1000)</x:f>
      </x:c>
      <x:c r="H22" s="559" t="n"/>
      <x:c r="I22" s="559" t="n"/>
      <x:c r="J22" s="559" t="n"/>
      <x:c r="K22" s="559" t="n"/>
      <x:c r="L22" s="559" t="n"/>
      <x:c r="M22" s="527" t="str">
        <x:f>IF(A22="","",SUM(G22:L22))</x:f>
      </x:c>
      <x:c r="N22" s="527" t="str">
        <x:f>IF(M22="","",M22*$B$5)</x:f>
      </x:c>
      <x:c r="O22" s="557" t="n"/>
      <x:c r="P22" s="557" t="n"/>
      <x:c r="Q22" s="543" t="str">
        <x:f>IF(A22="","",IFERROR(VLOOKUP("TikTok|"&amp;O22&amp;"|"&amp;P22,'4_Phí sàn'!$A$4:$G$100,5,FALSE),0))</x:f>
      </x:c>
      <x:c r="R22" s="566" t="n"/>
      <x:c r="S22" s="540" t="str">
        <x:f>IF(A22="","",IF(R22&gt;0,R22,Q22))</x:f>
      </x:c>
      <x:c r="T22" s="540" t="str">
        <x:f>IF(A22="","",IFERROR(VLOOKUP("TikTok|"&amp;O22&amp;"|"&amp;P22,'4_Phí sàn'!$A$4:$G$100,6,FALSE),0))</x:f>
      </x:c>
      <x:c r="U22" s="540" t="str">
        <x:f>IF(A22="","",$B$6+$B$7)</x:f>
      </x:c>
      <x:c r="V22" s="566" t="n"/>
      <x:c r="W22" s="527" t="str">
        <x:f>IF(A22="","",IFERROR(VLOOKUP("TikTok|"&amp;O22&amp;"|"&amp;P22,'4_Phí sàn'!$A$4:$G$100,7,FALSE),3000))</x:f>
      </x:c>
      <x:c r="X22" s="527" t="str">
        <x:f>IF(OR(A22="",M22="",M22=0),"",CEILING((M22+N22+W22)/((1-V22)*(1-S22-T22-U22)),$D$5))</x:f>
      </x:c>
      <x:c r="Y22" s="527" t="str">
        <x:f>IF(X22="","",X22*(1-V22)*(S22+T22+U22)+W22)</x:f>
      </x:c>
      <x:c r="Z22" s="527" t="str">
        <x:f>IF(X22="","",X22*(1-V22)-Y22-M22)</x:f>
      </x:c>
      <x:c r="AA22" s="557" t="n"/>
      <x:c r="AB22" s="557" t="n"/>
      <x:c r="AC22" s="543" t="str">
        <x:f>IF(A22="","",IFERROR(VLOOKUP("Shopee|"&amp;AA22&amp;"|"&amp;AB22,'4_Phí sàn'!$A$4:$G$100,5,FALSE),0))</x:f>
      </x:c>
      <x:c r="AD22" s="566" t="n"/>
      <x:c r="AE22" s="540" t="str">
        <x:f>IF(A22="","",IF(AD22&gt;0,AD22,AC22))</x:f>
      </x:c>
      <x:c r="AF22" s="540" t="str">
        <x:f>IF(A22="","",IFERROR(VLOOKUP("Shopee|"&amp;AA22&amp;"|"&amp;AB22,'4_Phí sàn'!$A$4:$G$100,6,FALSE),0.06))</x:f>
      </x:c>
      <x:c r="AG22" s="537" t="str">
        <x:f>IF(A22="","",$D$6+$B$7)</x:f>
      </x:c>
      <x:c r="AH22" s="566" t="n">
        <x:f>$B$7</x:f>
        <x:v>0</x:v>
      </x:c>
      <x:c r="AI22" s="567" t="str">
        <x:f>IF(A22="","",IFERROR(VLOOKUP("Shopee|"&amp;AA22&amp;"|"&amp;AB22,'4_Phí sàn'!$A$4:$G$100,7,FALSE),3000))</x:f>
      </x:c>
      <x:c r="AJ22" s="559" t="n"/>
      <x:c r="AK22" s="559" t="n"/>
      <x:c r="AL22" s="527" t="str">
        <x:f>IF(OR(A22="",M22="",M22=0),"",CEILING((M22+N22+AI22+(AJ22-AK22)*AF22)/((1-AH22)*(1-AE22-AF22-AG22)),$D$5))</x:f>
      </x:c>
      <x:c r="AM22" s="527" t="str">
        <x:f>IF(AL22="","",AL22*(1-AH22)*(AE22+AG22)+((AL22*(1-AH22)+AJ22-AK22)*AF22)+AI22)</x:f>
      </x:c>
      <x:c r="AN22" s="527" t="str">
        <x:f>IF(AL22="","",AL22*(1-AH22)-AM22-M22)</x:f>
      </x:c>
      <x:c r="AO22" s="534" t="str">
        <x:f>IF(A22="","",IF(B22="","⚠ NHẬP TÊN",IF(OR(D22="",F22="",F22=0),"⚠ NHẬP KHỐI LƯỢNG/GIÁ NHỰA",IF(OR(Q22=0,AC22=0),"⚠ KIỂM TRA PHÍ","OK"))))</x:f>
      </x:c>
    </x:row>
    <x:row r="23">
      <x:c r="A23" s="557" t="n"/>
      <x:c r="B23" s="557" t="n"/>
      <x:c r="C23" s="557" t="n"/>
      <x:c r="D23" s="558" t="n"/>
      <x:c r="E23" s="566" t="n"/>
      <x:c r="F23" s="542" t="str">
        <x:f>IF(C23="","",IFERROR(VLOOKUP(C23,'3_Nhựa'!$A$4:$B$100,2,FALSE),""))</x:f>
      </x:c>
      <x:c r="G23" s="527" t="str">
        <x:f>IF(OR(A23="",D23="",F23=""),"",D23*F23*(1+E23)/1000)</x:f>
      </x:c>
      <x:c r="H23" s="559" t="n"/>
      <x:c r="I23" s="559" t="n"/>
      <x:c r="J23" s="559" t="n"/>
      <x:c r="K23" s="559" t="n"/>
      <x:c r="L23" s="559" t="n"/>
      <x:c r="M23" s="527" t="str">
        <x:f>IF(A23="","",SUM(G23:L23))</x:f>
      </x:c>
      <x:c r="N23" s="527" t="str">
        <x:f>IF(M23="","",M23*$B$5)</x:f>
      </x:c>
      <x:c r="O23" s="557" t="n"/>
      <x:c r="P23" s="557" t="n"/>
      <x:c r="Q23" s="543" t="str">
        <x:f>IF(A23="","",IFERROR(VLOOKUP("TikTok|"&amp;O23&amp;"|"&amp;P23,'4_Phí sàn'!$A$4:$G$100,5,FALSE),0))</x:f>
      </x:c>
      <x:c r="R23" s="566" t="n"/>
      <x:c r="S23" s="540" t="str">
        <x:f>IF(A23="","",IF(R23&gt;0,R23,Q23))</x:f>
      </x:c>
      <x:c r="T23" s="540" t="str">
        <x:f>IF(A23="","",IFERROR(VLOOKUP("TikTok|"&amp;O23&amp;"|"&amp;P23,'4_Phí sàn'!$A$4:$G$100,6,FALSE),0))</x:f>
      </x:c>
      <x:c r="U23" s="540" t="str">
        <x:f>IF(A23="","",$B$6+$B$7)</x:f>
      </x:c>
      <x:c r="V23" s="566" t="n"/>
      <x:c r="W23" s="527" t="str">
        <x:f>IF(A23="","",IFERROR(VLOOKUP("TikTok|"&amp;O23&amp;"|"&amp;P23,'4_Phí sàn'!$A$4:$G$100,7,FALSE),3000))</x:f>
      </x:c>
      <x:c r="X23" s="527" t="str">
        <x:f>IF(OR(A23="",M23="",M23=0),"",CEILING((M23+N23+W23)/((1-V23)*(1-S23-T23-U23)),$D$5))</x:f>
      </x:c>
      <x:c r="Y23" s="527" t="str">
        <x:f>IF(X23="","",X23*(1-V23)*(S23+T23+U23)+W23)</x:f>
      </x:c>
      <x:c r="Z23" s="527" t="str">
        <x:f>IF(X23="","",X23*(1-V23)-Y23-M23)</x:f>
      </x:c>
      <x:c r="AA23" s="557" t="n"/>
      <x:c r="AB23" s="557" t="n"/>
      <x:c r="AC23" s="543" t="str">
        <x:f>IF(A23="","",IFERROR(VLOOKUP("Shopee|"&amp;AA23&amp;"|"&amp;AB23,'4_Phí sàn'!$A$4:$G$100,5,FALSE),0))</x:f>
      </x:c>
      <x:c r="AD23" s="566" t="n"/>
      <x:c r="AE23" s="540" t="str">
        <x:f>IF(A23="","",IF(AD23&gt;0,AD23,AC23))</x:f>
      </x:c>
      <x:c r="AF23" s="540" t="str">
        <x:f>IF(A23="","",IFERROR(VLOOKUP("Shopee|"&amp;AA23&amp;"|"&amp;AB23,'4_Phí sàn'!$A$4:$G$100,6,FALSE),0.06))</x:f>
      </x:c>
      <x:c r="AG23" s="537" t="str">
        <x:f>IF(A23="","",$D$6+$B$7)</x:f>
      </x:c>
      <x:c r="AH23" s="566" t="n">
        <x:f>$B$7</x:f>
        <x:v>0</x:v>
      </x:c>
      <x:c r="AI23" s="567" t="str">
        <x:f>IF(A23="","",IFERROR(VLOOKUP("Shopee|"&amp;AA23&amp;"|"&amp;AB23,'4_Phí sàn'!$A$4:$G$100,7,FALSE),3000))</x:f>
      </x:c>
      <x:c r="AJ23" s="559" t="n"/>
      <x:c r="AK23" s="559" t="n"/>
      <x:c r="AL23" s="527" t="str">
        <x:f>IF(OR(A23="",M23="",M23=0),"",CEILING((M23+N23+AI23+(AJ23-AK23)*AF23)/((1-AH23)*(1-AE23-AF23-AG23)),$D$5))</x:f>
      </x:c>
      <x:c r="AM23" s="527" t="str">
        <x:f>IF(AL23="","",AL23*(1-AH23)*(AE23+AG23)+((AL23*(1-AH23)+AJ23-AK23)*AF23)+AI23)</x:f>
      </x:c>
      <x:c r="AN23" s="527" t="str">
        <x:f>IF(AL23="","",AL23*(1-AH23)-AM23-M23)</x:f>
      </x:c>
      <x:c r="AO23" s="534" t="str">
        <x:f>IF(A23="","",IF(B23="","⚠ NHẬP TÊN",IF(OR(D23="",F23="",F23=0),"⚠ NHẬP KHỐI LƯỢNG/GIÁ NHỰA",IF(OR(Q23=0,AC23=0),"⚠ KIỂM TRA PHÍ","OK"))))</x:f>
      </x:c>
    </x:row>
    <x:row r="24">
      <x:c r="A24" s="557" t="n"/>
      <x:c r="B24" s="557" t="n"/>
      <x:c r="C24" s="557" t="n"/>
      <x:c r="D24" s="558" t="n"/>
      <x:c r="E24" s="566" t="n"/>
      <x:c r="F24" s="542" t="str">
        <x:f>IF(C24="","",IFERROR(VLOOKUP(C24,'3_Nhựa'!$A$4:$B$100,2,FALSE),""))</x:f>
      </x:c>
      <x:c r="G24" s="527" t="str">
        <x:f>IF(OR(A24="",D24="",F24=""),"",D24*F24*(1+E24)/1000)</x:f>
      </x:c>
      <x:c r="H24" s="559" t="n"/>
      <x:c r="I24" s="559" t="n"/>
      <x:c r="J24" s="559" t="n"/>
      <x:c r="K24" s="559" t="n"/>
      <x:c r="L24" s="559" t="n"/>
      <x:c r="M24" s="527" t="str">
        <x:f>IF(A24="","",SUM(G24:L24))</x:f>
      </x:c>
      <x:c r="N24" s="527" t="str">
        <x:f>IF(M24="","",M24*$B$5)</x:f>
      </x:c>
      <x:c r="O24" s="557" t="n"/>
      <x:c r="P24" s="557" t="n"/>
      <x:c r="Q24" s="543" t="str">
        <x:f>IF(A24="","",IFERROR(VLOOKUP("TikTok|"&amp;O24&amp;"|"&amp;P24,'4_Phí sàn'!$A$4:$G$100,5,FALSE),0))</x:f>
      </x:c>
      <x:c r="R24" s="566" t="n"/>
      <x:c r="S24" s="540" t="str">
        <x:f>IF(A24="","",IF(R24&gt;0,R24,Q24))</x:f>
      </x:c>
      <x:c r="T24" s="540" t="str">
        <x:f>IF(A24="","",IFERROR(VLOOKUP("TikTok|"&amp;O24&amp;"|"&amp;P24,'4_Phí sàn'!$A$4:$G$100,6,FALSE),0))</x:f>
      </x:c>
      <x:c r="U24" s="540" t="str">
        <x:f>IF(A24="","",$B$6+$B$7)</x:f>
      </x:c>
      <x:c r="V24" s="566" t="n"/>
      <x:c r="W24" s="527" t="str">
        <x:f>IF(A24="","",IFERROR(VLOOKUP("TikTok|"&amp;O24&amp;"|"&amp;P24,'4_Phí sàn'!$A$4:$G$100,7,FALSE),3000))</x:f>
      </x:c>
      <x:c r="X24" s="527" t="str">
        <x:f>IF(OR(A24="",M24="",M24=0),"",CEILING((M24+N24+W24)/((1-V24)*(1-S24-T24-U24)),$D$5))</x:f>
      </x:c>
      <x:c r="Y24" s="527" t="str">
        <x:f>IF(X24="","",X24*(1-V24)*(S24+T24+U24)+W24)</x:f>
      </x:c>
      <x:c r="Z24" s="527" t="str">
        <x:f>IF(X24="","",X24*(1-V24)-Y24-M24)</x:f>
      </x:c>
      <x:c r="AA24" s="557" t="n"/>
      <x:c r="AB24" s="557" t="n"/>
      <x:c r="AC24" s="543" t="str">
        <x:f>IF(A24="","",IFERROR(VLOOKUP("Shopee|"&amp;AA24&amp;"|"&amp;AB24,'4_Phí sàn'!$A$4:$G$100,5,FALSE),0))</x:f>
      </x:c>
      <x:c r="AD24" s="566" t="n"/>
      <x:c r="AE24" s="540" t="str">
        <x:f>IF(A24="","",IF(AD24&gt;0,AD24,AC24))</x:f>
      </x:c>
      <x:c r="AF24" s="540" t="str">
        <x:f>IF(A24="","",IFERROR(VLOOKUP("Shopee|"&amp;AA24&amp;"|"&amp;AB24,'4_Phí sàn'!$A$4:$G$100,6,FALSE),0.06))</x:f>
      </x:c>
      <x:c r="AG24" s="537" t="str">
        <x:f>IF(A24="","",$D$6+$B$7)</x:f>
      </x:c>
      <x:c r="AH24" s="566" t="n">
        <x:f>$B$7</x:f>
        <x:v>0</x:v>
      </x:c>
      <x:c r="AI24" s="567" t="str">
        <x:f>IF(A24="","",IFERROR(VLOOKUP("Shopee|"&amp;AA24&amp;"|"&amp;AB24,'4_Phí sàn'!$A$4:$G$100,7,FALSE),3000))</x:f>
      </x:c>
      <x:c r="AJ24" s="559" t="n"/>
      <x:c r="AK24" s="559" t="n"/>
      <x:c r="AL24" s="527" t="str">
        <x:f>IF(OR(A24="",M24="",M24=0),"",CEILING((M24+N24+AI24+(AJ24-AK24)*AF24)/((1-AH24)*(1-AE24-AF24-AG24)),$D$5))</x:f>
      </x:c>
      <x:c r="AM24" s="527" t="str">
        <x:f>IF(AL24="","",AL24*(1-AH24)*(AE24+AG24)+((AL24*(1-AH24)+AJ24-AK24)*AF24)+AI24)</x:f>
      </x:c>
      <x:c r="AN24" s="527" t="str">
        <x:f>IF(AL24="","",AL24*(1-AH24)-AM24-M24)</x:f>
      </x:c>
      <x:c r="AO24" s="534" t="str">
        <x:f>IF(A24="","",IF(B24="","⚠ NHẬP TÊN",IF(OR(D24="",F24="",F24=0),"⚠ NHẬP KHỐI LƯỢNG/GIÁ NHỰA",IF(OR(Q24=0,AC24=0),"⚠ KIỂM TRA PHÍ","OK"))))</x:f>
      </x:c>
    </x:row>
    <x:row r="25">
      <x:c r="A25" s="557" t="n"/>
      <x:c r="B25" s="557" t="n"/>
      <x:c r="C25" s="557" t="n"/>
      <x:c r="D25" s="558" t="n"/>
      <x:c r="E25" s="566" t="n"/>
      <x:c r="F25" s="542" t="str">
        <x:f>IF(C25="","",IFERROR(VLOOKUP(C25,'3_Nhựa'!$A$4:$B$100,2,FALSE),""))</x:f>
      </x:c>
      <x:c r="G25" s="527" t="str">
        <x:f>IF(OR(A25="",D25="",F25=""),"",D25*F25*(1+E25)/1000)</x:f>
      </x:c>
      <x:c r="H25" s="559" t="n"/>
      <x:c r="I25" s="559" t="n"/>
      <x:c r="J25" s="559" t="n"/>
      <x:c r="K25" s="559" t="n"/>
      <x:c r="L25" s="559" t="n"/>
      <x:c r="M25" s="527" t="str">
        <x:f>IF(A25="","",SUM(G25:L25))</x:f>
      </x:c>
      <x:c r="N25" s="527" t="str">
        <x:f>IF(M25="","",M25*$B$5)</x:f>
      </x:c>
      <x:c r="O25" s="557" t="n"/>
      <x:c r="P25" s="557" t="n"/>
      <x:c r="Q25" s="543" t="str">
        <x:f>IF(A25="","",IFERROR(VLOOKUP("TikTok|"&amp;O25&amp;"|"&amp;P25,'4_Phí sàn'!$A$4:$G$100,5,FALSE),0))</x:f>
      </x:c>
      <x:c r="R25" s="566" t="n"/>
      <x:c r="S25" s="540" t="str">
        <x:f>IF(A25="","",IF(R25&gt;0,R25,Q25))</x:f>
      </x:c>
      <x:c r="T25" s="540" t="str">
        <x:f>IF(A25="","",IFERROR(VLOOKUP("TikTok|"&amp;O25&amp;"|"&amp;P25,'4_Phí sàn'!$A$4:$G$100,6,FALSE),0))</x:f>
      </x:c>
      <x:c r="U25" s="540" t="str">
        <x:f>IF(A25="","",$B$6+$B$7)</x:f>
      </x:c>
      <x:c r="V25" s="566" t="n"/>
      <x:c r="W25" s="527" t="str">
        <x:f>IF(A25="","",IFERROR(VLOOKUP("TikTok|"&amp;O25&amp;"|"&amp;P25,'4_Phí sàn'!$A$4:$G$100,7,FALSE),3000))</x:f>
      </x:c>
      <x:c r="X25" s="527" t="str">
        <x:f>IF(OR(A25="",M25="",M25=0),"",CEILING((M25+N25+W25)/((1-V25)*(1-S25-T25-U25)),$D$5))</x:f>
      </x:c>
      <x:c r="Y25" s="527" t="str">
        <x:f>IF(X25="","",X25*(1-V25)*(S25+T25+U25)+W25)</x:f>
      </x:c>
      <x:c r="Z25" s="527" t="str">
        <x:f>IF(X25="","",X25*(1-V25)-Y25-M25)</x:f>
      </x:c>
      <x:c r="AA25" s="557" t="n"/>
      <x:c r="AB25" s="557" t="n"/>
      <x:c r="AC25" s="543" t="str">
        <x:f>IF(A25="","",IFERROR(VLOOKUP("Shopee|"&amp;AA25&amp;"|"&amp;AB25,'4_Phí sàn'!$A$4:$G$100,5,FALSE),0))</x:f>
      </x:c>
      <x:c r="AD25" s="566" t="n"/>
      <x:c r="AE25" s="540" t="str">
        <x:f>IF(A25="","",IF(AD25&gt;0,AD25,AC25))</x:f>
      </x:c>
      <x:c r="AF25" s="540" t="str">
        <x:f>IF(A25="","",IFERROR(VLOOKUP("Shopee|"&amp;AA25&amp;"|"&amp;AB25,'4_Phí sàn'!$A$4:$G$100,6,FALSE),0.06))</x:f>
      </x:c>
      <x:c r="AG25" s="537" t="str">
        <x:f>IF(A25="","",$D$6+$B$7)</x:f>
      </x:c>
      <x:c r="AH25" s="566" t="n">
        <x:f>$B$7</x:f>
        <x:v>0</x:v>
      </x:c>
      <x:c r="AI25" s="567" t="str">
        <x:f>IF(A25="","",IFERROR(VLOOKUP("Shopee|"&amp;AA25&amp;"|"&amp;AB25,'4_Phí sàn'!$A$4:$G$100,7,FALSE),3000))</x:f>
      </x:c>
      <x:c r="AJ25" s="559" t="n"/>
      <x:c r="AK25" s="559" t="n"/>
      <x:c r="AL25" s="527" t="str">
        <x:f>IF(OR(A25="",M25="",M25=0),"",CEILING((M25+N25+AI25+(AJ25-AK25)*AF25)/((1-AH25)*(1-AE25-AF25-AG25)),$D$5))</x:f>
      </x:c>
      <x:c r="AM25" s="527" t="str">
        <x:f>IF(AL25="","",AL25*(1-AH25)*(AE25+AG25)+((AL25*(1-AH25)+AJ25-AK25)*AF25)+AI25)</x:f>
      </x:c>
      <x:c r="AN25" s="527" t="str">
        <x:f>IF(AL25="","",AL25*(1-AH25)-AM25-M25)</x:f>
      </x:c>
      <x:c r="AO25" s="534" t="str">
        <x:f>IF(A25="","",IF(B25="","⚠ NHẬP TÊN",IF(OR(D25="",F25="",F25=0),"⚠ NHẬP KHỐI LƯỢNG/GIÁ NHỰA",IF(OR(Q25=0,AC25=0),"⚠ KIỂM TRA PHÍ","OK"))))</x:f>
      </x:c>
    </x:row>
    <x:row r="26">
      <x:c r="A26" s="557" t="n"/>
      <x:c r="B26" s="557" t="n"/>
      <x:c r="C26" s="557" t="n"/>
      <x:c r="D26" s="558" t="n"/>
      <x:c r="E26" s="566" t="n"/>
      <x:c r="F26" s="542" t="str">
        <x:f>IF(C26="","",IFERROR(VLOOKUP(C26,'3_Nhựa'!$A$4:$B$100,2,FALSE),""))</x:f>
      </x:c>
      <x:c r="G26" s="527" t="str">
        <x:f>IF(OR(A26="",D26="",F26=""),"",D26*F26*(1+E26)/1000)</x:f>
      </x:c>
      <x:c r="H26" s="559" t="n"/>
      <x:c r="I26" s="559" t="n"/>
      <x:c r="J26" s="559" t="n"/>
      <x:c r="K26" s="559" t="n"/>
      <x:c r="L26" s="559" t="n"/>
      <x:c r="M26" s="527" t="str">
        <x:f>IF(A26="","",SUM(G26:L26))</x:f>
      </x:c>
      <x:c r="N26" s="527" t="str">
        <x:f>IF(M26="","",M26*$B$5)</x:f>
      </x:c>
      <x:c r="O26" s="557" t="n"/>
      <x:c r="P26" s="557" t="n"/>
      <x:c r="Q26" s="543" t="str">
        <x:f>IF(A26="","",IFERROR(VLOOKUP("TikTok|"&amp;O26&amp;"|"&amp;P26,'4_Phí sàn'!$A$4:$G$100,5,FALSE),0))</x:f>
      </x:c>
      <x:c r="R26" s="566" t="n"/>
      <x:c r="S26" s="540" t="str">
        <x:f>IF(A26="","",IF(R26&gt;0,R26,Q26))</x:f>
      </x:c>
      <x:c r="T26" s="540" t="str">
        <x:f>IF(A26="","",IFERROR(VLOOKUP("TikTok|"&amp;O26&amp;"|"&amp;P26,'4_Phí sàn'!$A$4:$G$100,6,FALSE),0))</x:f>
      </x:c>
      <x:c r="U26" s="540" t="str">
        <x:f>IF(A26="","",$B$6+$B$7)</x:f>
      </x:c>
      <x:c r="V26" s="566" t="n"/>
      <x:c r="W26" s="527" t="str">
        <x:f>IF(A26="","",IFERROR(VLOOKUP("TikTok|"&amp;O26&amp;"|"&amp;P26,'4_Phí sàn'!$A$4:$G$100,7,FALSE),3000))</x:f>
      </x:c>
      <x:c r="X26" s="527" t="str">
        <x:f>IF(OR(A26="",M26="",M26=0),"",CEILING((M26+N26+W26)/((1-V26)*(1-S26-T26-U26)),$D$5))</x:f>
      </x:c>
      <x:c r="Y26" s="527" t="str">
        <x:f>IF(X26="","",X26*(1-V26)*(S26+T26+U26)+W26)</x:f>
      </x:c>
      <x:c r="Z26" s="527" t="str">
        <x:f>IF(X26="","",X26*(1-V26)-Y26-M26)</x:f>
      </x:c>
      <x:c r="AA26" s="557" t="n"/>
      <x:c r="AB26" s="557" t="n"/>
      <x:c r="AC26" s="543" t="str">
        <x:f>IF(A26="","",IFERROR(VLOOKUP("Shopee|"&amp;AA26&amp;"|"&amp;AB26,'4_Phí sàn'!$A$4:$G$100,5,FALSE),0))</x:f>
      </x:c>
      <x:c r="AD26" s="566" t="n"/>
      <x:c r="AE26" s="540" t="str">
        <x:f>IF(A26="","",IF(AD26&gt;0,AD26,AC26))</x:f>
      </x:c>
      <x:c r="AF26" s="540" t="str">
        <x:f>IF(A26="","",IFERROR(VLOOKUP("Shopee|"&amp;AA26&amp;"|"&amp;AB26,'4_Phí sàn'!$A$4:$G$100,6,FALSE),0.06))</x:f>
      </x:c>
      <x:c r="AG26" s="537" t="str">
        <x:f>IF(A26="","",$D$6+$B$7)</x:f>
      </x:c>
      <x:c r="AH26" s="566" t="n">
        <x:f>$B$7</x:f>
        <x:v>0</x:v>
      </x:c>
      <x:c r="AI26" s="567" t="str">
        <x:f>IF(A26="","",IFERROR(VLOOKUP("Shopee|"&amp;AA26&amp;"|"&amp;AB26,'4_Phí sàn'!$A$4:$G$100,7,FALSE),3000))</x:f>
      </x:c>
      <x:c r="AJ26" s="559" t="n"/>
      <x:c r="AK26" s="559" t="n"/>
      <x:c r="AL26" s="527" t="str">
        <x:f>IF(OR(A26="",M26="",M26=0),"",CEILING((M26+N26+AI26+(AJ26-AK26)*AF26)/((1-AH26)*(1-AE26-AF26-AG26)),$D$5))</x:f>
      </x:c>
      <x:c r="AM26" s="527" t="str">
        <x:f>IF(AL26="","",AL26*(1-AH26)*(AE26+AG26)+((AL26*(1-AH26)+AJ26-AK26)*AF26)+AI26)</x:f>
      </x:c>
      <x:c r="AN26" s="527" t="str">
        <x:f>IF(AL26="","",AL26*(1-AH26)-AM26-M26)</x:f>
      </x:c>
      <x:c r="AO26" s="534" t="str">
        <x:f>IF(A26="","",IF(B26="","⚠ NHẬP TÊN",IF(OR(D26="",F26="",F26=0),"⚠ NHẬP KHỐI LƯỢNG/GIÁ NHỰA",IF(OR(Q26=0,AC26=0),"⚠ KIỂM TRA PHÍ","OK"))))</x:f>
      </x:c>
    </x:row>
    <x:row r="27">
      <x:c r="A27" s="557" t="n"/>
      <x:c r="B27" s="557" t="n"/>
      <x:c r="C27" s="557" t="n"/>
      <x:c r="D27" s="558" t="n"/>
      <x:c r="E27" s="566" t="n"/>
      <x:c r="F27" s="542" t="str">
        <x:f>IF(C27="","",IFERROR(VLOOKUP(C27,'3_Nhựa'!$A$4:$B$100,2,FALSE),""))</x:f>
      </x:c>
      <x:c r="G27" s="527" t="str">
        <x:f>IF(OR(A27="",D27="",F27=""),"",D27*F27*(1+E27)/1000)</x:f>
      </x:c>
      <x:c r="H27" s="559" t="n"/>
      <x:c r="I27" s="559" t="n"/>
      <x:c r="J27" s="559" t="n"/>
      <x:c r="K27" s="559" t="n"/>
      <x:c r="L27" s="559" t="n"/>
      <x:c r="M27" s="527" t="str">
        <x:f>IF(A27="","",SUM(G27:L27))</x:f>
      </x:c>
      <x:c r="N27" s="527" t="str">
        <x:f>IF(M27="","",M27*$B$5)</x:f>
      </x:c>
      <x:c r="O27" s="557" t="n"/>
      <x:c r="P27" s="557" t="n"/>
      <x:c r="Q27" s="543" t="str">
        <x:f>IF(A27="","",IFERROR(VLOOKUP("TikTok|"&amp;O27&amp;"|"&amp;P27,'4_Phí sàn'!$A$4:$G$100,5,FALSE),0))</x:f>
      </x:c>
      <x:c r="R27" s="566" t="n"/>
      <x:c r="S27" s="540" t="str">
        <x:f>IF(A27="","",IF(R27&gt;0,R27,Q27))</x:f>
      </x:c>
      <x:c r="T27" s="540" t="str">
        <x:f>IF(A27="","",IFERROR(VLOOKUP("TikTok|"&amp;O27&amp;"|"&amp;P27,'4_Phí sàn'!$A$4:$G$100,6,FALSE),0))</x:f>
      </x:c>
      <x:c r="U27" s="540" t="str">
        <x:f>IF(A27="","",$B$6+$B$7)</x:f>
      </x:c>
      <x:c r="V27" s="566" t="n"/>
      <x:c r="W27" s="527" t="str">
        <x:f>IF(A27="","",IFERROR(VLOOKUP("TikTok|"&amp;O27&amp;"|"&amp;P27,'4_Phí sàn'!$A$4:$G$100,7,FALSE),3000))</x:f>
      </x:c>
      <x:c r="X27" s="527" t="str">
        <x:f>IF(OR(A27="",M27="",M27=0),"",CEILING((M27+N27+W27)/((1-V27)*(1-S27-T27-U27)),$D$5))</x:f>
      </x:c>
      <x:c r="Y27" s="527" t="str">
        <x:f>IF(X27="","",X27*(1-V27)*(S27+T27+U27)+W27)</x:f>
      </x:c>
      <x:c r="Z27" s="527" t="str">
        <x:f>IF(X27="","",X27*(1-V27)-Y27-M27)</x:f>
      </x:c>
      <x:c r="AA27" s="557" t="n"/>
      <x:c r="AB27" s="557" t="n"/>
      <x:c r="AC27" s="543" t="str">
        <x:f>IF(A27="","",IFERROR(VLOOKUP("Shopee|"&amp;AA27&amp;"|"&amp;AB27,'4_Phí sàn'!$A$4:$G$100,5,FALSE),0))</x:f>
      </x:c>
      <x:c r="AD27" s="566" t="n"/>
      <x:c r="AE27" s="540" t="str">
        <x:f>IF(A27="","",IF(AD27&gt;0,AD27,AC27))</x:f>
      </x:c>
      <x:c r="AF27" s="540" t="str">
        <x:f>IF(A27="","",IFERROR(VLOOKUP("Shopee|"&amp;AA27&amp;"|"&amp;AB27,'4_Phí sàn'!$A$4:$G$100,6,FALSE),0.06))</x:f>
      </x:c>
      <x:c r="AG27" s="537" t="str">
        <x:f>IF(A27="","",$D$6+$B$7)</x:f>
      </x:c>
      <x:c r="AH27" s="566" t="n">
        <x:f>$B$7</x:f>
        <x:v>0</x:v>
      </x:c>
      <x:c r="AI27" s="567" t="str">
        <x:f>IF(A27="","",IFERROR(VLOOKUP("Shopee|"&amp;AA27&amp;"|"&amp;AB27,'4_Phí sàn'!$A$4:$G$100,7,FALSE),3000))</x:f>
      </x:c>
      <x:c r="AJ27" s="559" t="n"/>
      <x:c r="AK27" s="559" t="n"/>
      <x:c r="AL27" s="527" t="str">
        <x:f>IF(OR(A27="",M27="",M27=0),"",CEILING((M27+N27+AI27+(AJ27-AK27)*AF27)/((1-AH27)*(1-AE27-AF27-AG27)),$D$5))</x:f>
      </x:c>
      <x:c r="AM27" s="527" t="str">
        <x:f>IF(AL27="","",AL27*(1-AH27)*(AE27+AG27)+((AL27*(1-AH27)+AJ27-AK27)*AF27)+AI27)</x:f>
      </x:c>
      <x:c r="AN27" s="527" t="str">
        <x:f>IF(AL27="","",AL27*(1-AH27)-AM27-M27)</x:f>
      </x:c>
      <x:c r="AO27" s="534" t="str">
        <x:f>IF(A27="","",IF(B27="","⚠ NHẬP TÊN",IF(OR(D27="",F27="",F27=0),"⚠ NHẬP KHỐI LƯỢNG/GIÁ NHỰA",IF(OR(Q27=0,AC27=0),"⚠ KIỂM TRA PHÍ","OK"))))</x:f>
      </x:c>
    </x:row>
    <x:row r="28">
      <x:c r="A28" s="557" t="n"/>
      <x:c r="B28" s="557" t="n"/>
      <x:c r="C28" s="557" t="n"/>
      <x:c r="D28" s="558" t="n"/>
      <x:c r="E28" s="566" t="n"/>
      <x:c r="F28" s="542" t="str">
        <x:f>IF(C28="","",IFERROR(VLOOKUP(C28,'3_Nhựa'!$A$4:$B$100,2,FALSE),""))</x:f>
      </x:c>
      <x:c r="G28" s="527" t="str">
        <x:f>IF(OR(A28="",D28="",F28=""),"",D28*F28*(1+E28)/1000)</x:f>
      </x:c>
      <x:c r="H28" s="559" t="n"/>
      <x:c r="I28" s="559" t="n"/>
      <x:c r="J28" s="559" t="n"/>
      <x:c r="K28" s="559" t="n"/>
      <x:c r="L28" s="559" t="n"/>
      <x:c r="M28" s="527" t="str">
        <x:f>IF(A28="","",SUM(G28:L28))</x:f>
      </x:c>
      <x:c r="N28" s="527" t="str">
        <x:f>IF(M28="","",M28*$B$5)</x:f>
      </x:c>
      <x:c r="O28" s="557" t="n"/>
      <x:c r="P28" s="557" t="n"/>
      <x:c r="Q28" s="543" t="str">
        <x:f>IF(A28="","",IFERROR(VLOOKUP("TikTok|"&amp;O28&amp;"|"&amp;P28,'4_Phí sàn'!$A$4:$G$100,5,FALSE),0))</x:f>
      </x:c>
      <x:c r="R28" s="566" t="n"/>
      <x:c r="S28" s="540" t="str">
        <x:f>IF(A28="","",IF(R28&gt;0,R28,Q28))</x:f>
      </x:c>
      <x:c r="T28" s="540" t="str">
        <x:f>IF(A28="","",IFERROR(VLOOKUP("TikTok|"&amp;O28&amp;"|"&amp;P28,'4_Phí sàn'!$A$4:$G$100,6,FALSE),0))</x:f>
      </x:c>
      <x:c r="U28" s="540" t="str">
        <x:f>IF(A28="","",$B$6+$B$7)</x:f>
      </x:c>
      <x:c r="V28" s="566" t="n"/>
      <x:c r="W28" s="527" t="str">
        <x:f>IF(A28="","",IFERROR(VLOOKUP("TikTok|"&amp;O28&amp;"|"&amp;P28,'4_Phí sàn'!$A$4:$G$100,7,FALSE),3000))</x:f>
      </x:c>
      <x:c r="X28" s="527" t="str">
        <x:f>IF(OR(A28="",M28="",M28=0),"",CEILING((M28+N28+W28)/((1-V28)*(1-S28-T28-U28)),$D$5))</x:f>
      </x:c>
      <x:c r="Y28" s="527" t="str">
        <x:f>IF(X28="","",X28*(1-V28)*(S28+T28+U28)+W28)</x:f>
      </x:c>
      <x:c r="Z28" s="527" t="str">
        <x:f>IF(X28="","",X28*(1-V28)-Y28-M28)</x:f>
      </x:c>
      <x:c r="AA28" s="557" t="n"/>
      <x:c r="AB28" s="557" t="n"/>
      <x:c r="AC28" s="543" t="str">
        <x:f>IF(A28="","",IFERROR(VLOOKUP("Shopee|"&amp;AA28&amp;"|"&amp;AB28,'4_Phí sàn'!$A$4:$G$100,5,FALSE),0))</x:f>
      </x:c>
      <x:c r="AD28" s="566" t="n"/>
      <x:c r="AE28" s="540" t="str">
        <x:f>IF(A28="","",IF(AD28&gt;0,AD28,AC28))</x:f>
      </x:c>
      <x:c r="AF28" s="540" t="str">
        <x:f>IF(A28="","",IFERROR(VLOOKUP("Shopee|"&amp;AA28&amp;"|"&amp;AB28,'4_Phí sàn'!$A$4:$G$100,6,FALSE),0.06))</x:f>
      </x:c>
      <x:c r="AG28" s="537" t="str">
        <x:f>IF(A28="","",$D$6+$B$7)</x:f>
      </x:c>
      <x:c r="AH28" s="566" t="n">
        <x:f>$B$7</x:f>
        <x:v>0</x:v>
      </x:c>
      <x:c r="AI28" s="567" t="str">
        <x:f>IF(A28="","",IFERROR(VLOOKUP("Shopee|"&amp;AA28&amp;"|"&amp;AB28,'4_Phí sàn'!$A$4:$G$100,7,FALSE),3000))</x:f>
      </x:c>
      <x:c r="AJ28" s="559" t="n"/>
      <x:c r="AK28" s="559" t="n"/>
      <x:c r="AL28" s="527" t="str">
        <x:f>IF(OR(A28="",M28="",M28=0),"",CEILING((M28+N28+AI28+(AJ28-AK28)*AF28)/((1-AH28)*(1-AE28-AF28-AG28)),$D$5))</x:f>
      </x:c>
      <x:c r="AM28" s="527" t="str">
        <x:f>IF(AL28="","",AL28*(1-AH28)*(AE28+AG28)+((AL28*(1-AH28)+AJ28-AK28)*AF28)+AI28)</x:f>
      </x:c>
      <x:c r="AN28" s="527" t="str">
        <x:f>IF(AL28="","",AL28*(1-AH28)-AM28-M28)</x:f>
      </x:c>
      <x:c r="AO28" s="534" t="str">
        <x:f>IF(A28="","",IF(B28="","⚠ NHẬP TÊN",IF(OR(D28="",F28="",F28=0),"⚠ NHẬP KHỐI LƯỢNG/GIÁ NHỰA",IF(OR(Q28=0,AC28=0),"⚠ KIỂM TRA PHÍ","OK"))))</x:f>
      </x:c>
    </x:row>
    <x:row r="29">
      <x:c r="A29" s="557" t="n"/>
      <x:c r="B29" s="557" t="n"/>
      <x:c r="C29" s="557" t="n"/>
      <x:c r="D29" s="558" t="n"/>
      <x:c r="E29" s="566" t="n"/>
      <x:c r="F29" s="542" t="str">
        <x:f>IF(C29="","",IFERROR(VLOOKUP(C29,'3_Nhựa'!$A$4:$B$100,2,FALSE),""))</x:f>
      </x:c>
      <x:c r="G29" s="527" t="str">
        <x:f>IF(OR(A29="",D29="",F29=""),"",D29*F29*(1+E29)/1000)</x:f>
      </x:c>
      <x:c r="H29" s="559" t="n"/>
      <x:c r="I29" s="559" t="n"/>
      <x:c r="J29" s="559" t="n"/>
      <x:c r="K29" s="559" t="n"/>
      <x:c r="L29" s="559" t="n"/>
      <x:c r="M29" s="527" t="str">
        <x:f>IF(A29="","",SUM(G29:L29))</x:f>
      </x:c>
      <x:c r="N29" s="527" t="str">
        <x:f>IF(M29="","",M29*$B$5)</x:f>
      </x:c>
      <x:c r="O29" s="557" t="n"/>
      <x:c r="P29" s="557" t="n"/>
      <x:c r="Q29" s="543" t="str">
        <x:f>IF(A29="","",IFERROR(VLOOKUP("TikTok|"&amp;O29&amp;"|"&amp;P29,'4_Phí sàn'!$A$4:$G$100,5,FALSE),0))</x:f>
      </x:c>
      <x:c r="R29" s="566" t="n"/>
      <x:c r="S29" s="540" t="str">
        <x:f>IF(A29="","",IF(R29&gt;0,R29,Q29))</x:f>
      </x:c>
      <x:c r="T29" s="540" t="str">
        <x:f>IF(A29="","",IFERROR(VLOOKUP("TikTok|"&amp;O29&amp;"|"&amp;P29,'4_Phí sàn'!$A$4:$G$100,6,FALSE),0))</x:f>
      </x:c>
      <x:c r="U29" s="540" t="str">
        <x:f>IF(A29="","",$B$6+$B$7)</x:f>
      </x:c>
      <x:c r="V29" s="566" t="n"/>
      <x:c r="W29" s="527" t="str">
        <x:f>IF(A29="","",IFERROR(VLOOKUP("TikTok|"&amp;O29&amp;"|"&amp;P29,'4_Phí sàn'!$A$4:$G$100,7,FALSE),3000))</x:f>
      </x:c>
      <x:c r="X29" s="527" t="str">
        <x:f>IF(OR(A29="",M29="",M29=0),"",CEILING((M29+N29+W29)/((1-V29)*(1-S29-T29-U29)),$D$5))</x:f>
      </x:c>
      <x:c r="Y29" s="527" t="str">
        <x:f>IF(X29="","",X29*(1-V29)*(S29+T29+U29)+W29)</x:f>
      </x:c>
      <x:c r="Z29" s="527" t="str">
        <x:f>IF(X29="","",X29*(1-V29)-Y29-M29)</x:f>
      </x:c>
      <x:c r="AA29" s="557" t="n"/>
      <x:c r="AB29" s="557" t="n"/>
      <x:c r="AC29" s="543" t="str">
        <x:f>IF(A29="","",IFERROR(VLOOKUP("Shopee|"&amp;AA29&amp;"|"&amp;AB29,'4_Phí sàn'!$A$4:$G$100,5,FALSE),0))</x:f>
      </x:c>
      <x:c r="AD29" s="566" t="n"/>
      <x:c r="AE29" s="540" t="str">
        <x:f>IF(A29="","",IF(AD29&gt;0,AD29,AC29))</x:f>
      </x:c>
      <x:c r="AF29" s="540" t="str">
        <x:f>IF(A29="","",IFERROR(VLOOKUP("Shopee|"&amp;AA29&amp;"|"&amp;AB29,'4_Phí sàn'!$A$4:$G$100,6,FALSE),0.06))</x:f>
      </x:c>
      <x:c r="AG29" s="537" t="str">
        <x:f>IF(A29="","",$D$6+$B$7)</x:f>
      </x:c>
      <x:c r="AH29" s="566" t="n">
        <x:f>$B$7</x:f>
        <x:v>0</x:v>
      </x:c>
      <x:c r="AI29" s="567" t="str">
        <x:f>IF(A29="","",IFERROR(VLOOKUP("Shopee|"&amp;AA29&amp;"|"&amp;AB29,'4_Phí sàn'!$A$4:$G$100,7,FALSE),3000))</x:f>
      </x:c>
      <x:c r="AJ29" s="559" t="n"/>
      <x:c r="AK29" s="559" t="n"/>
      <x:c r="AL29" s="527" t="str">
        <x:f>IF(OR(A29="",M29="",M29=0),"",CEILING((M29+N29+AI29+(AJ29-AK29)*AF29)/((1-AH29)*(1-AE29-AF29-AG29)),$D$5))</x:f>
      </x:c>
      <x:c r="AM29" s="527" t="str">
        <x:f>IF(AL29="","",AL29*(1-AH29)*(AE29+AG29)+((AL29*(1-AH29)+AJ29-AK29)*AF29)+AI29)</x:f>
      </x:c>
      <x:c r="AN29" s="527" t="str">
        <x:f>IF(AL29="","",AL29*(1-AH29)-AM29-M29)</x:f>
      </x:c>
      <x:c r="AO29" s="534" t="str">
        <x:f>IF(A29="","",IF(B29="","⚠ NHẬP TÊN",IF(OR(D29="",F29="",F29=0),"⚠ NHẬP KHỐI LƯỢNG/GIÁ NHỰA",IF(OR(Q29=0,AC29=0),"⚠ KIỂM TRA PHÍ","OK"))))</x:f>
      </x:c>
    </x:row>
    <x:row r="30">
      <x:c r="A30" s="557" t="n"/>
      <x:c r="B30" s="557" t="n"/>
      <x:c r="C30" s="557" t="n"/>
      <x:c r="D30" s="558" t="n"/>
      <x:c r="E30" s="566" t="n"/>
      <x:c r="F30" s="542" t="str">
        <x:f>IF(C30="","",IFERROR(VLOOKUP(C30,'3_Nhựa'!$A$4:$B$100,2,FALSE),""))</x:f>
      </x:c>
      <x:c r="G30" s="527" t="str">
        <x:f>IF(OR(A30="",D30="",F30=""),"",D30*F30*(1+E30)/1000)</x:f>
      </x:c>
      <x:c r="H30" s="559" t="n"/>
      <x:c r="I30" s="559" t="n"/>
      <x:c r="J30" s="559" t="n"/>
      <x:c r="K30" s="559" t="n"/>
      <x:c r="L30" s="559" t="n"/>
      <x:c r="M30" s="527" t="str">
        <x:f>IF(A30="","",SUM(G30:L30))</x:f>
      </x:c>
      <x:c r="N30" s="527" t="str">
        <x:f>IF(M30="","",M30*$B$5)</x:f>
      </x:c>
      <x:c r="O30" s="557" t="n"/>
      <x:c r="P30" s="557" t="n"/>
      <x:c r="Q30" s="543" t="str">
        <x:f>IF(A30="","",IFERROR(VLOOKUP("TikTok|"&amp;O30&amp;"|"&amp;P30,'4_Phí sàn'!$A$4:$G$100,5,FALSE),0))</x:f>
      </x:c>
      <x:c r="R30" s="566" t="n"/>
      <x:c r="S30" s="540" t="str">
        <x:f>IF(A30="","",IF(R30&gt;0,R30,Q30))</x:f>
      </x:c>
      <x:c r="T30" s="540" t="str">
        <x:f>IF(A30="","",IFERROR(VLOOKUP("TikTok|"&amp;O30&amp;"|"&amp;P30,'4_Phí sàn'!$A$4:$G$100,6,FALSE),0))</x:f>
      </x:c>
      <x:c r="U30" s="540" t="str">
        <x:f>IF(A30="","",$B$6+$B$7)</x:f>
      </x:c>
      <x:c r="V30" s="566" t="n"/>
      <x:c r="W30" s="527" t="str">
        <x:f>IF(A30="","",IFERROR(VLOOKUP("TikTok|"&amp;O30&amp;"|"&amp;P30,'4_Phí sàn'!$A$4:$G$100,7,FALSE),3000))</x:f>
      </x:c>
      <x:c r="X30" s="527" t="str">
        <x:f>IF(OR(A30="",M30="",M30=0),"",CEILING((M30+N30+W30)/((1-V30)*(1-S30-T30-U30)),$D$5))</x:f>
      </x:c>
      <x:c r="Y30" s="527" t="str">
        <x:f>IF(X30="","",X30*(1-V30)*(S30+T30+U30)+W30)</x:f>
      </x:c>
      <x:c r="Z30" s="527" t="str">
        <x:f>IF(X30="","",X30*(1-V30)-Y30-M30)</x:f>
      </x:c>
      <x:c r="AA30" s="557" t="n"/>
      <x:c r="AB30" s="557" t="n"/>
      <x:c r="AC30" s="543" t="str">
        <x:f>IF(A30="","",IFERROR(VLOOKUP("Shopee|"&amp;AA30&amp;"|"&amp;AB30,'4_Phí sàn'!$A$4:$G$100,5,FALSE),0))</x:f>
      </x:c>
      <x:c r="AD30" s="566" t="n"/>
      <x:c r="AE30" s="540" t="str">
        <x:f>IF(A30="","",IF(AD30&gt;0,AD30,AC30))</x:f>
      </x:c>
      <x:c r="AF30" s="540" t="str">
        <x:f>IF(A30="","",IFERROR(VLOOKUP("Shopee|"&amp;AA30&amp;"|"&amp;AB30,'4_Phí sàn'!$A$4:$G$100,6,FALSE),0.06))</x:f>
      </x:c>
      <x:c r="AG30" s="537" t="str">
        <x:f>IF(A30="","",$D$6+$B$7)</x:f>
      </x:c>
      <x:c r="AH30" s="566" t="n">
        <x:f>$B$7</x:f>
        <x:v>0</x:v>
      </x:c>
      <x:c r="AI30" s="567" t="str">
        <x:f>IF(A30="","",IFERROR(VLOOKUP("Shopee|"&amp;AA30&amp;"|"&amp;AB30,'4_Phí sàn'!$A$4:$G$100,7,FALSE),3000))</x:f>
      </x:c>
      <x:c r="AJ30" s="559" t="n"/>
      <x:c r="AK30" s="559" t="n"/>
      <x:c r="AL30" s="527" t="str">
        <x:f>IF(OR(A30="",M30="",M30=0),"",CEILING((M30+N30+AI30+(AJ30-AK30)*AF30)/((1-AH30)*(1-AE30-AF30-AG30)),$D$5))</x:f>
      </x:c>
      <x:c r="AM30" s="527" t="str">
        <x:f>IF(AL30="","",AL30*(1-AH30)*(AE30+AG30)+((AL30*(1-AH30)+AJ30-AK30)*AF30)+AI30)</x:f>
      </x:c>
      <x:c r="AN30" s="527" t="str">
        <x:f>IF(AL30="","",AL30*(1-AH30)-AM30-M30)</x:f>
      </x:c>
      <x:c r="AO30" s="534" t="str">
        <x:f>IF(A30="","",IF(B30="","⚠ NHẬP TÊN",IF(OR(D30="",F30="",F30=0),"⚠ NHẬP KHỐI LƯỢNG/GIÁ NHỰA",IF(OR(Q30=0,AC30=0),"⚠ KIỂM TRA PHÍ","OK"))))</x:f>
      </x:c>
    </x:row>
    <x:row r="31">
      <x:c r="A31" s="557" t="n"/>
      <x:c r="B31" s="557" t="n"/>
      <x:c r="C31" s="557" t="n"/>
      <x:c r="D31" s="558" t="n"/>
      <x:c r="E31" s="566" t="n"/>
      <x:c r="F31" s="542" t="str">
        <x:f>IF(C31="","",IFERROR(VLOOKUP(C31,'3_Nhựa'!$A$4:$B$100,2,FALSE),""))</x:f>
      </x:c>
      <x:c r="G31" s="527" t="str">
        <x:f>IF(OR(A31="",D31="",F31=""),"",D31*F31*(1+E31)/1000)</x:f>
      </x:c>
      <x:c r="H31" s="559" t="n"/>
      <x:c r="I31" s="559" t="n"/>
      <x:c r="J31" s="559" t="n"/>
      <x:c r="K31" s="559" t="n"/>
      <x:c r="L31" s="559" t="n"/>
      <x:c r="M31" s="527" t="str">
        <x:f>IF(A31="","",SUM(G31:L31))</x:f>
      </x:c>
      <x:c r="N31" s="527" t="str">
        <x:f>IF(M31="","",M31*$B$5)</x:f>
      </x:c>
      <x:c r="O31" s="557" t="n"/>
      <x:c r="P31" s="557" t="n"/>
      <x:c r="Q31" s="543" t="str">
        <x:f>IF(A31="","",IFERROR(VLOOKUP("TikTok|"&amp;O31&amp;"|"&amp;P31,'4_Phí sàn'!$A$4:$G$100,5,FALSE),0))</x:f>
      </x:c>
      <x:c r="R31" s="566" t="n"/>
      <x:c r="S31" s="540" t="str">
        <x:f>IF(A31="","",IF(R31&gt;0,R31,Q31))</x:f>
      </x:c>
      <x:c r="T31" s="540" t="str">
        <x:f>IF(A31="","",IFERROR(VLOOKUP("TikTok|"&amp;O31&amp;"|"&amp;P31,'4_Phí sàn'!$A$4:$G$100,6,FALSE),0))</x:f>
      </x:c>
      <x:c r="U31" s="540" t="str">
        <x:f>IF(A31="","",$B$6+$B$7)</x:f>
      </x:c>
      <x:c r="V31" s="566" t="n"/>
      <x:c r="W31" s="527" t="str">
        <x:f>IF(A31="","",IFERROR(VLOOKUP("TikTok|"&amp;O31&amp;"|"&amp;P31,'4_Phí sàn'!$A$4:$G$100,7,FALSE),3000))</x:f>
      </x:c>
      <x:c r="X31" s="527" t="str">
        <x:f>IF(OR(A31="",M31="",M31=0),"",CEILING((M31+N31+W31)/((1-V31)*(1-S31-T31-U31)),$D$5))</x:f>
      </x:c>
      <x:c r="Y31" s="527" t="str">
        <x:f>IF(X31="","",X31*(1-V31)*(S31+T31+U31)+W31)</x:f>
      </x:c>
      <x:c r="Z31" s="527" t="str">
        <x:f>IF(X31="","",X31*(1-V31)-Y31-M31)</x:f>
      </x:c>
      <x:c r="AA31" s="557" t="n"/>
      <x:c r="AB31" s="557" t="n"/>
      <x:c r="AC31" s="543" t="str">
        <x:f>IF(A31="","",IFERROR(VLOOKUP("Shopee|"&amp;AA31&amp;"|"&amp;AB31,'4_Phí sàn'!$A$4:$G$100,5,FALSE),0))</x:f>
      </x:c>
      <x:c r="AD31" s="566" t="n"/>
      <x:c r="AE31" s="540" t="str">
        <x:f>IF(A31="","",IF(AD31&gt;0,AD31,AC31))</x:f>
      </x:c>
      <x:c r="AF31" s="540" t="str">
        <x:f>IF(A31="","",IFERROR(VLOOKUP("Shopee|"&amp;AA31&amp;"|"&amp;AB31,'4_Phí sàn'!$A$4:$G$100,6,FALSE),0.06))</x:f>
      </x:c>
      <x:c r="AG31" s="537" t="str">
        <x:f>IF(A31="","",$D$6+$B$7)</x:f>
      </x:c>
      <x:c r="AH31" s="566" t="n">
        <x:f>$B$7</x:f>
        <x:v>0</x:v>
      </x:c>
      <x:c r="AI31" s="567" t="str">
        <x:f>IF(A31="","",IFERROR(VLOOKUP("Shopee|"&amp;AA31&amp;"|"&amp;AB31,'4_Phí sàn'!$A$4:$G$100,7,FALSE),3000))</x:f>
      </x:c>
      <x:c r="AJ31" s="559" t="n"/>
      <x:c r="AK31" s="559" t="n"/>
      <x:c r="AL31" s="527" t="str">
        <x:f>IF(OR(A31="",M31="",M31=0),"",CEILING((M31+N31+AI31+(AJ31-AK31)*AF31)/((1-AH31)*(1-AE31-AF31-AG31)),$D$5))</x:f>
      </x:c>
      <x:c r="AM31" s="527" t="str">
        <x:f>IF(AL31="","",AL31*(1-AH31)*(AE31+AG31)+((AL31*(1-AH31)+AJ31-AK31)*AF31)+AI31)</x:f>
      </x:c>
      <x:c r="AN31" s="527" t="str">
        <x:f>IF(AL31="","",AL31*(1-AH31)-AM31-M31)</x:f>
      </x:c>
      <x:c r="AO31" s="534" t="str">
        <x:f>IF(A31="","",IF(B31="","⚠ NHẬP TÊN",IF(OR(D31="",F31="",F31=0),"⚠ NHẬP KHỐI LƯỢNG/GIÁ NHỰA",IF(OR(Q31=0,AC31=0),"⚠ KIỂM TRA PHÍ","OK"))))</x:f>
      </x:c>
    </x:row>
    <x:row r="32">
      <x:c r="A32" s="557" t="n"/>
      <x:c r="B32" s="557" t="n"/>
      <x:c r="C32" s="557" t="n"/>
      <x:c r="D32" s="558" t="n"/>
      <x:c r="E32" s="566" t="n"/>
      <x:c r="F32" s="542" t="str">
        <x:f>IF(C32="","",IFERROR(VLOOKUP(C32,'3_Nhựa'!$A$4:$B$100,2,FALSE),""))</x:f>
      </x:c>
      <x:c r="G32" s="527" t="str">
        <x:f>IF(OR(A32="",D32="",F32=""),"",D32*F32*(1+E32)/1000)</x:f>
      </x:c>
      <x:c r="H32" s="559" t="n"/>
      <x:c r="I32" s="559" t="n"/>
      <x:c r="J32" s="559" t="n"/>
      <x:c r="K32" s="559" t="n"/>
      <x:c r="L32" s="559" t="n"/>
      <x:c r="M32" s="527" t="str">
        <x:f>IF(A32="","",SUM(G32:L32))</x:f>
      </x:c>
      <x:c r="N32" s="527" t="str">
        <x:f>IF(M32="","",M32*$B$5)</x:f>
      </x:c>
      <x:c r="O32" s="557" t="n"/>
      <x:c r="P32" s="557" t="n"/>
      <x:c r="Q32" s="543" t="str">
        <x:f>IF(A32="","",IFERROR(VLOOKUP("TikTok|"&amp;O32&amp;"|"&amp;P32,'4_Phí sàn'!$A$4:$G$100,5,FALSE),0))</x:f>
      </x:c>
      <x:c r="R32" s="566" t="n"/>
      <x:c r="S32" s="540" t="str">
        <x:f>IF(A32="","",IF(R32&gt;0,R32,Q32))</x:f>
      </x:c>
      <x:c r="T32" s="540" t="str">
        <x:f>IF(A32="","",IFERROR(VLOOKUP("TikTok|"&amp;O32&amp;"|"&amp;P32,'4_Phí sàn'!$A$4:$G$100,6,FALSE),0))</x:f>
      </x:c>
      <x:c r="U32" s="540" t="str">
        <x:f>IF(A32="","",$B$6+$B$7)</x:f>
      </x:c>
      <x:c r="V32" s="566" t="n"/>
      <x:c r="W32" s="527" t="str">
        <x:f>IF(A32="","",IFERROR(VLOOKUP("TikTok|"&amp;O32&amp;"|"&amp;P32,'4_Phí sàn'!$A$4:$G$100,7,FALSE),3000))</x:f>
      </x:c>
      <x:c r="X32" s="527" t="str">
        <x:f>IF(OR(A32="",M32="",M32=0),"",CEILING((M32+N32+W32)/((1-V32)*(1-S32-T32-U32)),$D$5))</x:f>
      </x:c>
      <x:c r="Y32" s="527" t="str">
        <x:f>IF(X32="","",X32*(1-V32)*(S32+T32+U32)+W32)</x:f>
      </x:c>
      <x:c r="Z32" s="527" t="str">
        <x:f>IF(X32="","",X32*(1-V32)-Y32-M32)</x:f>
      </x:c>
      <x:c r="AA32" s="557" t="n"/>
      <x:c r="AB32" s="557" t="n"/>
      <x:c r="AC32" s="543" t="str">
        <x:f>IF(A32="","",IFERROR(VLOOKUP("Shopee|"&amp;AA32&amp;"|"&amp;AB32,'4_Phí sàn'!$A$4:$G$100,5,FALSE),0))</x:f>
      </x:c>
      <x:c r="AD32" s="566" t="n"/>
      <x:c r="AE32" s="540" t="str">
        <x:f>IF(A32="","",IF(AD32&gt;0,AD32,AC32))</x:f>
      </x:c>
      <x:c r="AF32" s="540" t="str">
        <x:f>IF(A32="","",IFERROR(VLOOKUP("Shopee|"&amp;AA32&amp;"|"&amp;AB32,'4_Phí sàn'!$A$4:$G$100,6,FALSE),0.06))</x:f>
      </x:c>
      <x:c r="AG32" s="537" t="str">
        <x:f>IF(A32="","",$D$6+$B$7)</x:f>
      </x:c>
      <x:c r="AH32" s="566" t="n">
        <x:f>$B$7</x:f>
        <x:v>0</x:v>
      </x:c>
      <x:c r="AI32" s="567" t="str">
        <x:f>IF(A32="","",IFERROR(VLOOKUP("Shopee|"&amp;AA32&amp;"|"&amp;AB32,'4_Phí sàn'!$A$4:$G$100,7,FALSE),3000))</x:f>
      </x:c>
      <x:c r="AJ32" s="559" t="n"/>
      <x:c r="AK32" s="559" t="n"/>
      <x:c r="AL32" s="527" t="str">
        <x:f>IF(OR(A32="",M32="",M32=0),"",CEILING((M32+N32+AI32+(AJ32-AK32)*AF32)/((1-AH32)*(1-AE32-AF32-AG32)),$D$5))</x:f>
      </x:c>
      <x:c r="AM32" s="527" t="str">
        <x:f>IF(AL32="","",AL32*(1-AH32)*(AE32+AG32)+((AL32*(1-AH32)+AJ32-AK32)*AF32)+AI32)</x:f>
      </x:c>
      <x:c r="AN32" s="527" t="str">
        <x:f>IF(AL32="","",AL32*(1-AH32)-AM32-M32)</x:f>
      </x:c>
      <x:c r="AO32" s="534" t="str">
        <x:f>IF(A32="","",IF(B32="","⚠ NHẬP TÊN",IF(OR(D32="",F32="",F32=0),"⚠ NHẬP KHỐI LƯỢNG/GIÁ NHỰA",IF(OR(Q32=0,AC32=0),"⚠ KIỂM TRA PHÍ","OK"))))</x:f>
      </x:c>
    </x:row>
    <x:row r="33">
      <x:c r="A33" s="557" t="n"/>
      <x:c r="B33" s="557" t="n"/>
      <x:c r="C33" s="557" t="n"/>
      <x:c r="D33" s="558" t="n"/>
      <x:c r="E33" s="566" t="n"/>
      <x:c r="F33" s="542" t="str">
        <x:f>IF(C33="","",IFERROR(VLOOKUP(C33,'3_Nhựa'!$A$4:$B$100,2,FALSE),""))</x:f>
      </x:c>
      <x:c r="G33" s="527" t="str">
        <x:f>IF(OR(A33="",D33="",F33=""),"",D33*F33*(1+E33)/1000)</x:f>
      </x:c>
      <x:c r="H33" s="559" t="n"/>
      <x:c r="I33" s="559" t="n"/>
      <x:c r="J33" s="559" t="n"/>
      <x:c r="K33" s="559" t="n"/>
      <x:c r="L33" s="559" t="n"/>
      <x:c r="M33" s="527" t="str">
        <x:f>IF(A33="","",SUM(G33:L33))</x:f>
      </x:c>
      <x:c r="N33" s="527" t="str">
        <x:f>IF(M33="","",M33*$B$5)</x:f>
      </x:c>
      <x:c r="O33" s="557" t="n"/>
      <x:c r="P33" s="557" t="n"/>
      <x:c r="Q33" s="543" t="str">
        <x:f>IF(A33="","",IFERROR(VLOOKUP("TikTok|"&amp;O33&amp;"|"&amp;P33,'4_Phí sàn'!$A$4:$G$100,5,FALSE),0))</x:f>
      </x:c>
      <x:c r="R33" s="566" t="n"/>
      <x:c r="S33" s="540" t="str">
        <x:f>IF(A33="","",IF(R33&gt;0,R33,Q33))</x:f>
      </x:c>
      <x:c r="T33" s="540" t="str">
        <x:f>IF(A33="","",IFERROR(VLOOKUP("TikTok|"&amp;O33&amp;"|"&amp;P33,'4_Phí sàn'!$A$4:$G$100,6,FALSE),0))</x:f>
      </x:c>
      <x:c r="U33" s="540" t="str">
        <x:f>IF(A33="","",$B$6+$B$7)</x:f>
      </x:c>
      <x:c r="V33" s="566" t="n"/>
      <x:c r="W33" s="527" t="str">
        <x:f>IF(A33="","",IFERROR(VLOOKUP("TikTok|"&amp;O33&amp;"|"&amp;P33,'4_Phí sàn'!$A$4:$G$100,7,FALSE),3000))</x:f>
      </x:c>
      <x:c r="X33" s="527" t="str">
        <x:f>IF(OR(A33="",M33="",M33=0),"",CEILING((M33+N33+W33)/((1-V33)*(1-S33-T33-U33)),$D$5))</x:f>
      </x:c>
      <x:c r="Y33" s="527" t="str">
        <x:f>IF(X33="","",X33*(1-V33)*(S33+T33+U33)+W33)</x:f>
      </x:c>
      <x:c r="Z33" s="527" t="str">
        <x:f>IF(X33="","",X33*(1-V33)-Y33-M33)</x:f>
      </x:c>
      <x:c r="AA33" s="557" t="n"/>
      <x:c r="AB33" s="557" t="n"/>
      <x:c r="AC33" s="543" t="str">
        <x:f>IF(A33="","",IFERROR(VLOOKUP("Shopee|"&amp;AA33&amp;"|"&amp;AB33,'4_Phí sàn'!$A$4:$G$100,5,FALSE),0))</x:f>
      </x:c>
      <x:c r="AD33" s="566" t="n"/>
      <x:c r="AE33" s="540" t="str">
        <x:f>IF(A33="","",IF(AD33&gt;0,AD33,AC33))</x:f>
      </x:c>
      <x:c r="AF33" s="540" t="str">
        <x:f>IF(A33="","",IFERROR(VLOOKUP("Shopee|"&amp;AA33&amp;"|"&amp;AB33,'4_Phí sàn'!$A$4:$G$100,6,FALSE),0.06))</x:f>
      </x:c>
      <x:c r="AG33" s="537" t="str">
        <x:f>IF(A33="","",$D$6+$B$7)</x:f>
      </x:c>
      <x:c r="AH33" s="566" t="n">
        <x:f>$B$7</x:f>
        <x:v>0</x:v>
      </x:c>
      <x:c r="AI33" s="567" t="str">
        <x:f>IF(A33="","",IFERROR(VLOOKUP("Shopee|"&amp;AA33&amp;"|"&amp;AB33,'4_Phí sàn'!$A$4:$G$100,7,FALSE),3000))</x:f>
      </x:c>
      <x:c r="AJ33" s="559" t="n"/>
      <x:c r="AK33" s="559" t="n"/>
      <x:c r="AL33" s="527" t="str">
        <x:f>IF(OR(A33="",M33="",M33=0),"",CEILING((M33+N33+AI33+(AJ33-AK33)*AF33)/((1-AH33)*(1-AE33-AF33-AG33)),$D$5))</x:f>
      </x:c>
      <x:c r="AM33" s="527" t="str">
        <x:f>IF(AL33="","",AL33*(1-AH33)*(AE33+AG33)+((AL33*(1-AH33)+AJ33-AK33)*AF33)+AI33)</x:f>
      </x:c>
      <x:c r="AN33" s="527" t="str">
        <x:f>IF(AL33="","",AL33*(1-AH33)-AM33-M33)</x:f>
      </x:c>
      <x:c r="AO33" s="534" t="str">
        <x:f>IF(A33="","",IF(B33="","⚠ NHẬP TÊN",IF(OR(D33="",F33="",F33=0),"⚠ NHẬP KHỐI LƯỢNG/GIÁ NHỰA",IF(OR(Q33=0,AC33=0),"⚠ KIỂM TRA PHÍ","OK"))))</x:f>
      </x:c>
    </x:row>
    <x:row r="34">
      <x:c r="A34" s="557" t="n"/>
      <x:c r="B34" s="557" t="n"/>
      <x:c r="C34" s="557" t="n"/>
      <x:c r="D34" s="558" t="n"/>
      <x:c r="E34" s="566" t="n"/>
      <x:c r="F34" s="542" t="str">
        <x:f>IF(C34="","",IFERROR(VLOOKUP(C34,'3_Nhựa'!$A$4:$B$100,2,FALSE),""))</x:f>
      </x:c>
      <x:c r="G34" s="527" t="str">
        <x:f>IF(OR(A34="",D34="",F34=""),"",D34*F34*(1+E34)/1000)</x:f>
      </x:c>
      <x:c r="H34" s="559" t="n"/>
      <x:c r="I34" s="559" t="n"/>
      <x:c r="J34" s="559" t="n"/>
      <x:c r="K34" s="559" t="n"/>
      <x:c r="L34" s="559" t="n"/>
      <x:c r="M34" s="527" t="str">
        <x:f>IF(A34="","",SUM(G34:L34))</x:f>
      </x:c>
      <x:c r="N34" s="527" t="str">
        <x:f>IF(M34="","",M34*$B$5)</x:f>
      </x:c>
      <x:c r="O34" s="557" t="n"/>
      <x:c r="P34" s="557" t="n"/>
      <x:c r="Q34" s="543" t="str">
        <x:f>IF(A34="","",IFERROR(VLOOKUP("TikTok|"&amp;O34&amp;"|"&amp;P34,'4_Phí sàn'!$A$4:$G$100,5,FALSE),0))</x:f>
      </x:c>
      <x:c r="R34" s="566" t="n"/>
      <x:c r="S34" s="540" t="str">
        <x:f>IF(A34="","",IF(R34&gt;0,R34,Q34))</x:f>
      </x:c>
      <x:c r="T34" s="540" t="str">
        <x:f>IF(A34="","",IFERROR(VLOOKUP("TikTok|"&amp;O34&amp;"|"&amp;P34,'4_Phí sàn'!$A$4:$G$100,6,FALSE),0))</x:f>
      </x:c>
      <x:c r="U34" s="540" t="str">
        <x:f>IF(A34="","",$B$6+$B$7)</x:f>
      </x:c>
      <x:c r="V34" s="566" t="n"/>
      <x:c r="W34" s="527" t="str">
        <x:f>IF(A34="","",IFERROR(VLOOKUP("TikTok|"&amp;O34&amp;"|"&amp;P34,'4_Phí sàn'!$A$4:$G$100,7,FALSE),3000))</x:f>
      </x:c>
      <x:c r="X34" s="527" t="str">
        <x:f>IF(OR(A34="",M34="",M34=0),"",CEILING((M34+N34+W34)/((1-V34)*(1-S34-T34-U34)),$D$5))</x:f>
      </x:c>
      <x:c r="Y34" s="527" t="str">
        <x:f>IF(X34="","",X34*(1-V34)*(S34+T34+U34)+W34)</x:f>
      </x:c>
      <x:c r="Z34" s="527" t="str">
        <x:f>IF(X34="","",X34*(1-V34)-Y34-M34)</x:f>
      </x:c>
      <x:c r="AA34" s="557" t="n"/>
      <x:c r="AB34" s="557" t="n"/>
      <x:c r="AC34" s="543" t="str">
        <x:f>IF(A34="","",IFERROR(VLOOKUP("Shopee|"&amp;AA34&amp;"|"&amp;AB34,'4_Phí sàn'!$A$4:$G$100,5,FALSE),0))</x:f>
      </x:c>
      <x:c r="AD34" s="566" t="n"/>
      <x:c r="AE34" s="540" t="str">
        <x:f>IF(A34="","",IF(AD34&gt;0,AD34,AC34))</x:f>
      </x:c>
      <x:c r="AF34" s="540" t="str">
        <x:f>IF(A34="","",IFERROR(VLOOKUP("Shopee|"&amp;AA34&amp;"|"&amp;AB34,'4_Phí sàn'!$A$4:$G$100,6,FALSE),0.06))</x:f>
      </x:c>
      <x:c r="AG34" s="537" t="str">
        <x:f>IF(A34="","",$D$6+$B$7)</x:f>
      </x:c>
      <x:c r="AH34" s="566" t="n">
        <x:f>$B$7</x:f>
        <x:v>0</x:v>
      </x:c>
      <x:c r="AI34" s="567" t="str">
        <x:f>IF(A34="","",IFERROR(VLOOKUP("Shopee|"&amp;AA34&amp;"|"&amp;AB34,'4_Phí sàn'!$A$4:$G$100,7,FALSE),3000))</x:f>
      </x:c>
      <x:c r="AJ34" s="559" t="n"/>
      <x:c r="AK34" s="559" t="n"/>
      <x:c r="AL34" s="527" t="str">
        <x:f>IF(OR(A34="",M34="",M34=0),"",CEILING((M34+N34+AI34+(AJ34-AK34)*AF34)/((1-AH34)*(1-AE34-AF34-AG34)),$D$5))</x:f>
      </x:c>
      <x:c r="AM34" s="527" t="str">
        <x:f>IF(AL34="","",AL34*(1-AH34)*(AE34+AG34)+((AL34*(1-AH34)+AJ34-AK34)*AF34)+AI34)</x:f>
      </x:c>
      <x:c r="AN34" s="527" t="str">
        <x:f>IF(AL34="","",AL34*(1-AH34)-AM34-M34)</x:f>
      </x:c>
      <x:c r="AO34" s="534" t="str">
        <x:f>IF(A34="","",IF(B34="","⚠ NHẬP TÊN",IF(OR(D34="",F34="",F34=0),"⚠ NHẬP KHỐI LƯỢNG/GIÁ NHỰA",IF(OR(Q34=0,AC34=0),"⚠ KIỂM TRA PHÍ","OK"))))</x:f>
      </x:c>
    </x:row>
    <x:row r="35">
      <x:c r="A35" s="557" t="n"/>
      <x:c r="B35" s="557" t="n"/>
      <x:c r="C35" s="557" t="n"/>
      <x:c r="D35" s="558" t="n"/>
      <x:c r="E35" s="566" t="n"/>
      <x:c r="F35" s="542" t="str">
        <x:f>IF(C35="","",IFERROR(VLOOKUP(C35,'3_Nhựa'!$A$4:$B$100,2,FALSE),""))</x:f>
      </x:c>
      <x:c r="G35" s="527" t="str">
        <x:f>IF(OR(A35="",D35="",F35=""),"",D35*F35*(1+E35)/1000)</x:f>
      </x:c>
      <x:c r="H35" s="559" t="n"/>
      <x:c r="I35" s="559" t="n"/>
      <x:c r="J35" s="559" t="n"/>
      <x:c r="K35" s="559" t="n"/>
      <x:c r="L35" s="559" t="n"/>
      <x:c r="M35" s="527" t="str">
        <x:f>IF(A35="","",SUM(G35:L35))</x:f>
      </x:c>
      <x:c r="N35" s="527" t="str">
        <x:f>IF(M35="","",M35*$B$5)</x:f>
      </x:c>
      <x:c r="O35" s="557" t="n"/>
      <x:c r="P35" s="557" t="n"/>
      <x:c r="Q35" s="543" t="str">
        <x:f>IF(A35="","",IFERROR(VLOOKUP("TikTok|"&amp;O35&amp;"|"&amp;P35,'4_Phí sàn'!$A$4:$G$100,5,FALSE),0))</x:f>
      </x:c>
      <x:c r="R35" s="566" t="n"/>
      <x:c r="S35" s="540" t="str">
        <x:f>IF(A35="","",IF(R35&gt;0,R35,Q35))</x:f>
      </x:c>
      <x:c r="T35" s="540" t="str">
        <x:f>IF(A35="","",IFERROR(VLOOKUP("TikTok|"&amp;O35&amp;"|"&amp;P35,'4_Phí sàn'!$A$4:$G$100,6,FALSE),0))</x:f>
      </x:c>
      <x:c r="U35" s="540" t="str">
        <x:f>IF(A35="","",$B$6+$B$7)</x:f>
      </x:c>
      <x:c r="V35" s="566" t="n"/>
      <x:c r="W35" s="527" t="str">
        <x:f>IF(A35="","",IFERROR(VLOOKUP("TikTok|"&amp;O35&amp;"|"&amp;P35,'4_Phí sàn'!$A$4:$G$100,7,FALSE),3000))</x:f>
      </x:c>
      <x:c r="X35" s="527" t="str">
        <x:f>IF(OR(A35="",M35="",M35=0),"",CEILING((M35+N35+W35)/((1-V35)*(1-S35-T35-U35)),$D$5))</x:f>
      </x:c>
      <x:c r="Y35" s="527" t="str">
        <x:f>IF(X35="","",X35*(1-V35)*(S35+T35+U35)+W35)</x:f>
      </x:c>
      <x:c r="Z35" s="527" t="str">
        <x:f>IF(X35="","",X35*(1-V35)-Y35-M35)</x:f>
      </x:c>
      <x:c r="AA35" s="557" t="n"/>
      <x:c r="AB35" s="557" t="n"/>
      <x:c r="AC35" s="543" t="str">
        <x:f>IF(A35="","",IFERROR(VLOOKUP("Shopee|"&amp;AA35&amp;"|"&amp;AB35,'4_Phí sàn'!$A$4:$G$100,5,FALSE),0))</x:f>
      </x:c>
      <x:c r="AD35" s="566" t="n"/>
      <x:c r="AE35" s="540" t="str">
        <x:f>IF(A35="","",IF(AD35&gt;0,AD35,AC35))</x:f>
      </x:c>
      <x:c r="AF35" s="540" t="str">
        <x:f>IF(A35="","",IFERROR(VLOOKUP("Shopee|"&amp;AA35&amp;"|"&amp;AB35,'4_Phí sàn'!$A$4:$G$100,6,FALSE),0.06))</x:f>
      </x:c>
      <x:c r="AG35" s="537" t="str">
        <x:f>IF(A35="","",$D$6+$B$7)</x:f>
      </x:c>
      <x:c r="AH35" s="566" t="n">
        <x:f>$B$7</x:f>
        <x:v>0</x:v>
      </x:c>
      <x:c r="AI35" s="567" t="str">
        <x:f>IF(A35="","",IFERROR(VLOOKUP("Shopee|"&amp;AA35&amp;"|"&amp;AB35,'4_Phí sàn'!$A$4:$G$100,7,FALSE),3000))</x:f>
      </x:c>
      <x:c r="AJ35" s="559" t="n"/>
      <x:c r="AK35" s="559" t="n"/>
      <x:c r="AL35" s="527" t="str">
        <x:f>IF(OR(A35="",M35="",M35=0),"",CEILING((M35+N35+AI35+(AJ35-AK35)*AF35)/((1-AH35)*(1-AE35-AF35-AG35)),$D$5))</x:f>
      </x:c>
      <x:c r="AM35" s="527" t="str">
        <x:f>IF(AL35="","",AL35*(1-AH35)*(AE35+AG35)+((AL35*(1-AH35)+AJ35-AK35)*AF35)+AI35)</x:f>
      </x:c>
      <x:c r="AN35" s="527" t="str">
        <x:f>IF(AL35="","",AL35*(1-AH35)-AM35-M35)</x:f>
      </x:c>
      <x:c r="AO35" s="534" t="str">
        <x:f>IF(A35="","",IF(B35="","⚠ NHẬP TÊN",IF(OR(D35="",F35="",F35=0),"⚠ NHẬP KHỐI LƯỢNG/GIÁ NHỰA",IF(OR(Q35=0,AC35=0),"⚠ KIỂM TRA PHÍ","OK"))))</x:f>
      </x:c>
    </x:row>
    <x:row r="36">
      <x:c r="A36" s="557" t="n"/>
      <x:c r="B36" s="557" t="n"/>
      <x:c r="C36" s="557" t="n"/>
      <x:c r="D36" s="558" t="n"/>
      <x:c r="E36" s="566" t="n"/>
      <x:c r="F36" s="542" t="str">
        <x:f>IF(C36="","",IFERROR(VLOOKUP(C36,'3_Nhựa'!$A$4:$B$100,2,FALSE),""))</x:f>
      </x:c>
      <x:c r="G36" s="527" t="str">
        <x:f>IF(OR(A36="",D36="",F36=""),"",D36*F36*(1+E36)/1000)</x:f>
      </x:c>
      <x:c r="H36" s="559" t="n"/>
      <x:c r="I36" s="559" t="n"/>
      <x:c r="J36" s="559" t="n"/>
      <x:c r="K36" s="559" t="n"/>
      <x:c r="L36" s="559" t="n"/>
      <x:c r="M36" s="527" t="str">
        <x:f>IF(A36="","",SUM(G36:L36))</x:f>
      </x:c>
      <x:c r="N36" s="527" t="str">
        <x:f>IF(M36="","",M36*$B$5)</x:f>
      </x:c>
      <x:c r="O36" s="557" t="n"/>
      <x:c r="P36" s="557" t="n"/>
      <x:c r="Q36" s="543" t="str">
        <x:f>IF(A36="","",IFERROR(VLOOKUP("TikTok|"&amp;O36&amp;"|"&amp;P36,'4_Phí sàn'!$A$4:$G$100,5,FALSE),0))</x:f>
      </x:c>
      <x:c r="R36" s="566" t="n"/>
      <x:c r="S36" s="540" t="str">
        <x:f>IF(A36="","",IF(R36&gt;0,R36,Q36))</x:f>
      </x:c>
      <x:c r="T36" s="540" t="str">
        <x:f>IF(A36="","",IFERROR(VLOOKUP("TikTok|"&amp;O36&amp;"|"&amp;P36,'4_Phí sàn'!$A$4:$G$100,6,FALSE),0))</x:f>
      </x:c>
      <x:c r="U36" s="540" t="str">
        <x:f>IF(A36="","",$B$6+$B$7)</x:f>
      </x:c>
      <x:c r="V36" s="566" t="n"/>
      <x:c r="W36" s="527" t="str">
        <x:f>IF(A36="","",IFERROR(VLOOKUP("TikTok|"&amp;O36&amp;"|"&amp;P36,'4_Phí sàn'!$A$4:$G$100,7,FALSE),3000))</x:f>
      </x:c>
      <x:c r="X36" s="527" t="str">
        <x:f>IF(OR(A36="",M36="",M36=0),"",CEILING((M36+N36+W36)/((1-V36)*(1-S36-T36-U36)),$D$5))</x:f>
      </x:c>
      <x:c r="Y36" s="527" t="str">
        <x:f>IF(X36="","",X36*(1-V36)*(S36+T36+U36)+W36)</x:f>
      </x:c>
      <x:c r="Z36" s="527" t="str">
        <x:f>IF(X36="","",X36*(1-V36)-Y36-M36)</x:f>
      </x:c>
      <x:c r="AA36" s="557" t="n"/>
      <x:c r="AB36" s="557" t="n"/>
      <x:c r="AC36" s="543" t="str">
        <x:f>IF(A36="","",IFERROR(VLOOKUP("Shopee|"&amp;AA36&amp;"|"&amp;AB36,'4_Phí sàn'!$A$4:$G$100,5,FALSE),0))</x:f>
      </x:c>
      <x:c r="AD36" s="566" t="n"/>
      <x:c r="AE36" s="540" t="str">
        <x:f>IF(A36="","",IF(AD36&gt;0,AD36,AC36))</x:f>
      </x:c>
      <x:c r="AF36" s="540" t="str">
        <x:f>IF(A36="","",IFERROR(VLOOKUP("Shopee|"&amp;AA36&amp;"|"&amp;AB36,'4_Phí sàn'!$A$4:$G$100,6,FALSE),0.06))</x:f>
      </x:c>
      <x:c r="AG36" s="537" t="str">
        <x:f>IF(A36="","",$D$6+$B$7)</x:f>
      </x:c>
      <x:c r="AH36" s="566" t="n">
        <x:f>$B$7</x:f>
        <x:v>0</x:v>
      </x:c>
      <x:c r="AI36" s="567" t="str">
        <x:f>IF(A36="","",IFERROR(VLOOKUP("Shopee|"&amp;AA36&amp;"|"&amp;AB36,'4_Phí sàn'!$A$4:$G$100,7,FALSE),3000))</x:f>
      </x:c>
      <x:c r="AJ36" s="559" t="n"/>
      <x:c r="AK36" s="559" t="n"/>
      <x:c r="AL36" s="527" t="str">
        <x:f>IF(OR(A36="",M36="",M36=0),"",CEILING((M36+N36+AI36+(AJ36-AK36)*AF36)/((1-AH36)*(1-AE36-AF36-AG36)),$D$5))</x:f>
      </x:c>
      <x:c r="AM36" s="527" t="str">
        <x:f>IF(AL36="","",AL36*(1-AH36)*(AE36+AG36)+((AL36*(1-AH36)+AJ36-AK36)*AF36)+AI36)</x:f>
      </x:c>
      <x:c r="AN36" s="527" t="str">
        <x:f>IF(AL36="","",AL36*(1-AH36)-AM36-M36)</x:f>
      </x:c>
      <x:c r="AO36" s="534" t="str">
        <x:f>IF(A36="","",IF(B36="","⚠ NHẬP TÊN",IF(OR(D36="",F36="",F36=0),"⚠ NHẬP KHỐI LƯỢNG/GIÁ NHỰA",IF(OR(Q36=0,AC36=0),"⚠ KIỂM TRA PHÍ","OK"))))</x:f>
      </x:c>
    </x:row>
    <x:row r="37">
      <x:c r="A37" s="557" t="n"/>
      <x:c r="B37" s="557" t="n"/>
      <x:c r="C37" s="557" t="n"/>
      <x:c r="D37" s="558" t="n"/>
      <x:c r="E37" s="566" t="n"/>
      <x:c r="F37" s="542" t="str">
        <x:f>IF(C37="","",IFERROR(VLOOKUP(C37,'3_Nhựa'!$A$4:$B$100,2,FALSE),""))</x:f>
      </x:c>
      <x:c r="G37" s="527" t="str">
        <x:f>IF(OR(A37="",D37="",F37=""),"",D37*F37*(1+E37)/1000)</x:f>
      </x:c>
      <x:c r="H37" s="559" t="n"/>
      <x:c r="I37" s="559" t="n"/>
      <x:c r="J37" s="559" t="n"/>
      <x:c r="K37" s="559" t="n"/>
      <x:c r="L37" s="559" t="n"/>
      <x:c r="M37" s="527" t="str">
        <x:f>IF(A37="","",SUM(G37:L37))</x:f>
      </x:c>
      <x:c r="N37" s="527" t="str">
        <x:f>IF(M37="","",M37*$B$5)</x:f>
      </x:c>
      <x:c r="O37" s="557" t="n"/>
      <x:c r="P37" s="557" t="n"/>
      <x:c r="Q37" s="543" t="str">
        <x:f>IF(A37="","",IFERROR(VLOOKUP("TikTok|"&amp;O37&amp;"|"&amp;P37,'4_Phí sàn'!$A$4:$G$100,5,FALSE),0))</x:f>
      </x:c>
      <x:c r="R37" s="566" t="n"/>
      <x:c r="S37" s="540" t="str">
        <x:f>IF(A37="","",IF(R37&gt;0,R37,Q37))</x:f>
      </x:c>
      <x:c r="T37" s="540" t="str">
        <x:f>IF(A37="","",IFERROR(VLOOKUP("TikTok|"&amp;O37&amp;"|"&amp;P37,'4_Phí sàn'!$A$4:$G$100,6,FALSE),0))</x:f>
      </x:c>
      <x:c r="U37" s="540" t="str">
        <x:f>IF(A37="","",$B$6+$B$7)</x:f>
      </x:c>
      <x:c r="V37" s="566" t="n"/>
      <x:c r="W37" s="527" t="str">
        <x:f>IF(A37="","",IFERROR(VLOOKUP("TikTok|"&amp;O37&amp;"|"&amp;P37,'4_Phí sàn'!$A$4:$G$100,7,FALSE),3000))</x:f>
      </x:c>
      <x:c r="X37" s="527" t="str">
        <x:f>IF(OR(A37="",M37="",M37=0),"",CEILING((M37+N37+W37)/((1-V37)*(1-S37-T37-U37)),$D$5))</x:f>
      </x:c>
      <x:c r="Y37" s="527" t="str">
        <x:f>IF(X37="","",X37*(1-V37)*(S37+T37+U37)+W37)</x:f>
      </x:c>
      <x:c r="Z37" s="527" t="str">
        <x:f>IF(X37="","",X37*(1-V37)-Y37-M37)</x:f>
      </x:c>
      <x:c r="AA37" s="557" t="n"/>
      <x:c r="AB37" s="557" t="n"/>
      <x:c r="AC37" s="543" t="str">
        <x:f>IF(A37="","",IFERROR(VLOOKUP("Shopee|"&amp;AA37&amp;"|"&amp;AB37,'4_Phí sàn'!$A$4:$G$100,5,FALSE),0))</x:f>
      </x:c>
      <x:c r="AD37" s="566" t="n"/>
      <x:c r="AE37" s="540" t="str">
        <x:f>IF(A37="","",IF(AD37&gt;0,AD37,AC37))</x:f>
      </x:c>
      <x:c r="AF37" s="540" t="str">
        <x:f>IF(A37="","",IFERROR(VLOOKUP("Shopee|"&amp;AA37&amp;"|"&amp;AB37,'4_Phí sàn'!$A$4:$G$100,6,FALSE),0.06))</x:f>
      </x:c>
      <x:c r="AG37" s="537" t="str">
        <x:f>IF(A37="","",$D$6+$B$7)</x:f>
      </x:c>
      <x:c r="AH37" s="566" t="n">
        <x:f>$B$7</x:f>
        <x:v>0</x:v>
      </x:c>
      <x:c r="AI37" s="567" t="str">
        <x:f>IF(A37="","",IFERROR(VLOOKUP("Shopee|"&amp;AA37&amp;"|"&amp;AB37,'4_Phí sàn'!$A$4:$G$100,7,FALSE),3000))</x:f>
      </x:c>
      <x:c r="AJ37" s="559" t="n"/>
      <x:c r="AK37" s="559" t="n"/>
      <x:c r="AL37" s="527" t="str">
        <x:f>IF(OR(A37="",M37="",M37=0),"",CEILING((M37+N37+AI37+(AJ37-AK37)*AF37)/((1-AH37)*(1-AE37-AF37-AG37)),$D$5))</x:f>
      </x:c>
      <x:c r="AM37" s="527" t="str">
        <x:f>IF(AL37="","",AL37*(1-AH37)*(AE37+AG37)+((AL37*(1-AH37)+AJ37-AK37)*AF37)+AI37)</x:f>
      </x:c>
      <x:c r="AN37" s="527" t="str">
        <x:f>IF(AL37="","",AL37*(1-AH37)-AM37-M37)</x:f>
      </x:c>
      <x:c r="AO37" s="534" t="str">
        <x:f>IF(A37="","",IF(B37="","⚠ NHẬP TÊN",IF(OR(D37="",F37="",F37=0),"⚠ NHẬP KHỐI LƯỢNG/GIÁ NHỰA",IF(OR(Q37=0,AC37=0),"⚠ KIỂM TRA PHÍ","OK"))))</x:f>
      </x:c>
    </x:row>
    <x:row r="38">
      <x:c r="A38" s="557" t="n"/>
      <x:c r="B38" s="557" t="n"/>
      <x:c r="C38" s="557" t="n"/>
      <x:c r="D38" s="558" t="n"/>
      <x:c r="E38" s="566" t="n"/>
      <x:c r="F38" s="542" t="str">
        <x:f>IF(C38="","",IFERROR(VLOOKUP(C38,'3_Nhựa'!$A$4:$B$100,2,FALSE),""))</x:f>
      </x:c>
      <x:c r="G38" s="527" t="str">
        <x:f>IF(OR(A38="",D38="",F38=""),"",D38*F38*(1+E38)/1000)</x:f>
      </x:c>
      <x:c r="H38" s="559" t="n"/>
      <x:c r="I38" s="559" t="n"/>
      <x:c r="J38" s="559" t="n"/>
      <x:c r="K38" s="559" t="n"/>
      <x:c r="L38" s="559" t="n"/>
      <x:c r="M38" s="527" t="str">
        <x:f>IF(A38="","",SUM(G38:L38))</x:f>
      </x:c>
      <x:c r="N38" s="527" t="str">
        <x:f>IF(M38="","",M38*$B$5)</x:f>
      </x:c>
      <x:c r="O38" s="557" t="n"/>
      <x:c r="P38" s="557" t="n"/>
      <x:c r="Q38" s="543" t="str">
        <x:f>IF(A38="","",IFERROR(VLOOKUP("TikTok|"&amp;O38&amp;"|"&amp;P38,'4_Phí sàn'!$A$4:$G$100,5,FALSE),0))</x:f>
      </x:c>
      <x:c r="R38" s="566" t="n"/>
      <x:c r="S38" s="540" t="str">
        <x:f>IF(A38="","",IF(R38&gt;0,R38,Q38))</x:f>
      </x:c>
      <x:c r="T38" s="540" t="str">
        <x:f>IF(A38="","",IFERROR(VLOOKUP("TikTok|"&amp;O38&amp;"|"&amp;P38,'4_Phí sàn'!$A$4:$G$100,6,FALSE),0))</x:f>
      </x:c>
      <x:c r="U38" s="540" t="str">
        <x:f>IF(A38="","",$B$6+$B$7)</x:f>
      </x:c>
      <x:c r="V38" s="566" t="n"/>
      <x:c r="W38" s="527" t="str">
        <x:f>IF(A38="","",IFERROR(VLOOKUP("TikTok|"&amp;O38&amp;"|"&amp;P38,'4_Phí sàn'!$A$4:$G$100,7,FALSE),3000))</x:f>
      </x:c>
      <x:c r="X38" s="527" t="str">
        <x:f>IF(OR(A38="",M38="",M38=0),"",CEILING((M38+N38+W38)/((1-V38)*(1-S38-T38-U38)),$D$5))</x:f>
      </x:c>
      <x:c r="Y38" s="527" t="str">
        <x:f>IF(X38="","",X38*(1-V38)*(S38+T38+U38)+W38)</x:f>
      </x:c>
      <x:c r="Z38" s="527" t="str">
        <x:f>IF(X38="","",X38*(1-V38)-Y38-M38)</x:f>
      </x:c>
      <x:c r="AA38" s="557" t="n"/>
      <x:c r="AB38" s="557" t="n"/>
      <x:c r="AC38" s="543" t="str">
        <x:f>IF(A38="","",IFERROR(VLOOKUP("Shopee|"&amp;AA38&amp;"|"&amp;AB38,'4_Phí sàn'!$A$4:$G$100,5,FALSE),0))</x:f>
      </x:c>
      <x:c r="AD38" s="566" t="n"/>
      <x:c r="AE38" s="540" t="str">
        <x:f>IF(A38="","",IF(AD38&gt;0,AD38,AC38))</x:f>
      </x:c>
      <x:c r="AF38" s="540" t="str">
        <x:f>IF(A38="","",IFERROR(VLOOKUP("Shopee|"&amp;AA38&amp;"|"&amp;AB38,'4_Phí sàn'!$A$4:$G$100,6,FALSE),0.06))</x:f>
      </x:c>
      <x:c r="AG38" s="537" t="str">
        <x:f>IF(A38="","",$D$6+$B$7)</x:f>
      </x:c>
      <x:c r="AH38" s="566" t="n">
        <x:f>$B$7</x:f>
        <x:v>0</x:v>
      </x:c>
      <x:c r="AI38" s="567" t="str">
        <x:f>IF(A38="","",IFERROR(VLOOKUP("Shopee|"&amp;AA38&amp;"|"&amp;AB38,'4_Phí sàn'!$A$4:$G$100,7,FALSE),3000))</x:f>
      </x:c>
      <x:c r="AJ38" s="559" t="n"/>
      <x:c r="AK38" s="559" t="n"/>
      <x:c r="AL38" s="527" t="str">
        <x:f>IF(OR(A38="",M38="",M38=0),"",CEILING((M38+N38+AI38+(AJ38-AK38)*AF38)/((1-AH38)*(1-AE38-AF38-AG38)),$D$5))</x:f>
      </x:c>
      <x:c r="AM38" s="527" t="str">
        <x:f>IF(AL38="","",AL38*(1-AH38)*(AE38+AG38)+((AL38*(1-AH38)+AJ38-AK38)*AF38)+AI38)</x:f>
      </x:c>
      <x:c r="AN38" s="527" t="str">
        <x:f>IF(AL38="","",AL38*(1-AH38)-AM38-M38)</x:f>
      </x:c>
      <x:c r="AO38" s="534" t="str">
        <x:f>IF(A38="","",IF(B38="","⚠ NHẬP TÊN",IF(OR(D38="",F38="",F38=0),"⚠ NHẬP KHỐI LƯỢNG/GIÁ NHỰA",IF(OR(Q38=0,AC38=0),"⚠ KIỂM TRA PHÍ","OK"))))</x:f>
      </x:c>
    </x:row>
    <x:row r="39">
      <x:c r="A39" s="557" t="n"/>
      <x:c r="B39" s="557" t="n"/>
      <x:c r="C39" s="557" t="n"/>
      <x:c r="D39" s="558" t="n"/>
      <x:c r="E39" s="566" t="n"/>
      <x:c r="F39" s="542" t="str">
        <x:f>IF(C39="","",IFERROR(VLOOKUP(C39,'3_Nhựa'!$A$4:$B$100,2,FALSE),""))</x:f>
      </x:c>
      <x:c r="G39" s="527" t="str">
        <x:f>IF(OR(A39="",D39="",F39=""),"",D39*F39*(1+E39)/1000)</x:f>
      </x:c>
      <x:c r="H39" s="559" t="n"/>
      <x:c r="I39" s="559" t="n"/>
      <x:c r="J39" s="559" t="n"/>
      <x:c r="K39" s="559" t="n"/>
      <x:c r="L39" s="559" t="n"/>
      <x:c r="M39" s="527" t="str">
        <x:f>IF(A39="","",SUM(G39:L39))</x:f>
      </x:c>
      <x:c r="N39" s="527" t="str">
        <x:f>IF(M39="","",M39*$B$5)</x:f>
      </x:c>
      <x:c r="O39" s="557" t="n"/>
      <x:c r="P39" s="557" t="n"/>
      <x:c r="Q39" s="543" t="str">
        <x:f>IF(A39="","",IFERROR(VLOOKUP("TikTok|"&amp;O39&amp;"|"&amp;P39,'4_Phí sàn'!$A$4:$G$100,5,FALSE),0))</x:f>
      </x:c>
      <x:c r="R39" s="566" t="n"/>
      <x:c r="S39" s="540" t="str">
        <x:f>IF(A39="","",IF(R39&gt;0,R39,Q39))</x:f>
      </x:c>
      <x:c r="T39" s="540" t="str">
        <x:f>IF(A39="","",IFERROR(VLOOKUP("TikTok|"&amp;O39&amp;"|"&amp;P39,'4_Phí sàn'!$A$4:$G$100,6,FALSE),0))</x:f>
      </x:c>
      <x:c r="U39" s="540" t="str">
        <x:f>IF(A39="","",$B$6+$B$7)</x:f>
      </x:c>
      <x:c r="V39" s="566" t="n"/>
      <x:c r="W39" s="527" t="str">
        <x:f>IF(A39="","",IFERROR(VLOOKUP("TikTok|"&amp;O39&amp;"|"&amp;P39,'4_Phí sàn'!$A$4:$G$100,7,FALSE),3000))</x:f>
      </x:c>
      <x:c r="X39" s="527" t="str">
        <x:f>IF(OR(A39="",M39="",M39=0),"",CEILING((M39+N39+W39)/((1-V39)*(1-S39-T39-U39)),$D$5))</x:f>
      </x:c>
      <x:c r="Y39" s="527" t="str">
        <x:f>IF(X39="","",X39*(1-V39)*(S39+T39+U39)+W39)</x:f>
      </x:c>
      <x:c r="Z39" s="527" t="str">
        <x:f>IF(X39="","",X39*(1-V39)-Y39-M39)</x:f>
      </x:c>
      <x:c r="AA39" s="557" t="n"/>
      <x:c r="AB39" s="557" t="n"/>
      <x:c r="AC39" s="543" t="str">
        <x:f>IF(A39="","",IFERROR(VLOOKUP("Shopee|"&amp;AA39&amp;"|"&amp;AB39,'4_Phí sàn'!$A$4:$G$100,5,FALSE),0))</x:f>
      </x:c>
      <x:c r="AD39" s="566" t="n"/>
      <x:c r="AE39" s="540" t="str">
        <x:f>IF(A39="","",IF(AD39&gt;0,AD39,AC39))</x:f>
      </x:c>
      <x:c r="AF39" s="540" t="str">
        <x:f>IF(A39="","",IFERROR(VLOOKUP("Shopee|"&amp;AA39&amp;"|"&amp;AB39,'4_Phí sàn'!$A$4:$G$100,6,FALSE),0.06))</x:f>
      </x:c>
      <x:c r="AG39" s="537" t="str">
        <x:f>IF(A39="","",$D$6+$B$7)</x:f>
      </x:c>
      <x:c r="AH39" s="566" t="n">
        <x:f>$B$7</x:f>
        <x:v>0</x:v>
      </x:c>
      <x:c r="AI39" s="567" t="str">
        <x:f>IF(A39="","",IFERROR(VLOOKUP("Shopee|"&amp;AA39&amp;"|"&amp;AB39,'4_Phí sàn'!$A$4:$G$100,7,FALSE),3000))</x:f>
      </x:c>
      <x:c r="AJ39" s="559" t="n"/>
      <x:c r="AK39" s="559" t="n"/>
      <x:c r="AL39" s="527" t="str">
        <x:f>IF(OR(A39="",M39="",M39=0),"",CEILING((M39+N39+AI39+(AJ39-AK39)*AF39)/((1-AH39)*(1-AE39-AF39-AG39)),$D$5))</x:f>
      </x:c>
      <x:c r="AM39" s="527" t="str">
        <x:f>IF(AL39="","",AL39*(1-AH39)*(AE39+AG39)+((AL39*(1-AH39)+AJ39-AK39)*AF39)+AI39)</x:f>
      </x:c>
      <x:c r="AN39" s="527" t="str">
        <x:f>IF(AL39="","",AL39*(1-AH39)-AM39-M39)</x:f>
      </x:c>
      <x:c r="AO39" s="534" t="str">
        <x:f>IF(A39="","",IF(B39="","⚠ NHẬP TÊN",IF(OR(D39="",F39="",F39=0),"⚠ NHẬP KHỐI LƯỢNG/GIÁ NHỰA",IF(OR(Q39=0,AC39=0),"⚠ KIỂM TRA PHÍ","OK"))))</x:f>
      </x:c>
    </x:row>
    <x:row r="40">
      <x:c r="A40" s="557" t="n"/>
      <x:c r="B40" s="557" t="n"/>
      <x:c r="C40" s="557" t="n"/>
      <x:c r="D40" s="558" t="n"/>
      <x:c r="E40" s="566" t="n"/>
      <x:c r="F40" s="542" t="str">
        <x:f>IF(C40="","",IFERROR(VLOOKUP(C40,'3_Nhựa'!$A$4:$B$100,2,FALSE),""))</x:f>
      </x:c>
      <x:c r="G40" s="527" t="str">
        <x:f>IF(OR(A40="",D40="",F40=""),"",D40*F40*(1+E40)/1000)</x:f>
      </x:c>
      <x:c r="H40" s="559" t="n"/>
      <x:c r="I40" s="559" t="n"/>
      <x:c r="J40" s="559" t="n"/>
      <x:c r="K40" s="559" t="n"/>
      <x:c r="L40" s="559" t="n"/>
      <x:c r="M40" s="527" t="str">
        <x:f>IF(A40="","",SUM(G40:L40))</x:f>
      </x:c>
      <x:c r="N40" s="527" t="str">
        <x:f>IF(M40="","",M40*$B$5)</x:f>
      </x:c>
      <x:c r="O40" s="557" t="n"/>
      <x:c r="P40" s="557" t="n"/>
      <x:c r="Q40" s="543" t="str">
        <x:f>IF(A40="","",IFERROR(VLOOKUP("TikTok|"&amp;O40&amp;"|"&amp;P40,'4_Phí sàn'!$A$4:$G$100,5,FALSE),0))</x:f>
      </x:c>
      <x:c r="R40" s="566" t="n"/>
      <x:c r="S40" s="540" t="str">
        <x:f>IF(A40="","",IF(R40&gt;0,R40,Q40))</x:f>
      </x:c>
      <x:c r="T40" s="540" t="str">
        <x:f>IF(A40="","",IFERROR(VLOOKUP("TikTok|"&amp;O40&amp;"|"&amp;P40,'4_Phí sàn'!$A$4:$G$100,6,FALSE),0))</x:f>
      </x:c>
      <x:c r="U40" s="540" t="str">
        <x:f>IF(A40="","",$B$6+$B$7)</x:f>
      </x:c>
      <x:c r="V40" s="566" t="n"/>
      <x:c r="W40" s="527" t="str">
        <x:f>IF(A40="","",IFERROR(VLOOKUP("TikTok|"&amp;O40&amp;"|"&amp;P40,'4_Phí sàn'!$A$4:$G$100,7,FALSE),3000))</x:f>
      </x:c>
      <x:c r="X40" s="527" t="str">
        <x:f>IF(OR(A40="",M40="",M40=0),"",CEILING((M40+N40+W40)/((1-V40)*(1-S40-T40-U40)),$D$5))</x:f>
      </x:c>
      <x:c r="Y40" s="527" t="str">
        <x:f>IF(X40="","",X40*(1-V40)*(S40+T40+U40)+W40)</x:f>
      </x:c>
      <x:c r="Z40" s="527" t="str">
        <x:f>IF(X40="","",X40*(1-V40)-Y40-M40)</x:f>
      </x:c>
      <x:c r="AA40" s="557" t="n"/>
      <x:c r="AB40" s="557" t="n"/>
      <x:c r="AC40" s="543" t="str">
        <x:f>IF(A40="","",IFERROR(VLOOKUP("Shopee|"&amp;AA40&amp;"|"&amp;AB40,'4_Phí sàn'!$A$4:$G$100,5,FALSE),0))</x:f>
      </x:c>
      <x:c r="AD40" s="566" t="n"/>
      <x:c r="AE40" s="540" t="str">
        <x:f>IF(A40="","",IF(AD40&gt;0,AD40,AC40))</x:f>
      </x:c>
      <x:c r="AF40" s="540" t="str">
        <x:f>IF(A40="","",IFERROR(VLOOKUP("Shopee|"&amp;AA40&amp;"|"&amp;AB40,'4_Phí sàn'!$A$4:$G$100,6,FALSE),0.06))</x:f>
      </x:c>
      <x:c r="AG40" s="537" t="str">
        <x:f>IF(A40="","",$D$6+$B$7)</x:f>
      </x:c>
      <x:c r="AH40" s="566" t="n">
        <x:f>$B$7</x:f>
        <x:v>0</x:v>
      </x:c>
      <x:c r="AI40" s="567" t="str">
        <x:f>IF(A40="","",IFERROR(VLOOKUP("Shopee|"&amp;AA40&amp;"|"&amp;AB40,'4_Phí sàn'!$A$4:$G$100,7,FALSE),3000))</x:f>
      </x:c>
      <x:c r="AJ40" s="559" t="n"/>
      <x:c r="AK40" s="559" t="n"/>
      <x:c r="AL40" s="527" t="str">
        <x:f>IF(OR(A40="",M40="",M40=0),"",CEILING((M40+N40+AI40+(AJ40-AK40)*AF40)/((1-AH40)*(1-AE40-AF40-AG40)),$D$5))</x:f>
      </x:c>
      <x:c r="AM40" s="527" t="str">
        <x:f>IF(AL40="","",AL40*(1-AH40)*(AE40+AG40)+((AL40*(1-AH40)+AJ40-AK40)*AF40)+AI40)</x:f>
      </x:c>
      <x:c r="AN40" s="527" t="str">
        <x:f>IF(AL40="","",AL40*(1-AH40)-AM40-M40)</x:f>
      </x:c>
      <x:c r="AO40" s="534" t="str">
        <x:f>IF(A40="","",IF(B40="","⚠ NHẬP TÊN",IF(OR(D40="",F40="",F40=0),"⚠ NHẬP KHỐI LƯỢNG/GIÁ NHỰA",IF(OR(Q40=0,AC40=0),"⚠ KIỂM TRA PHÍ","OK"))))</x:f>
      </x:c>
    </x:row>
    <x:row r="41">
      <x:c r="A41" s="557" t="n"/>
      <x:c r="B41" s="557" t="n"/>
      <x:c r="C41" s="557" t="n"/>
      <x:c r="D41" s="558" t="n"/>
      <x:c r="E41" s="566" t="n"/>
      <x:c r="F41" s="542" t="str">
        <x:f>IF(C41="","",IFERROR(VLOOKUP(C41,'3_Nhựa'!$A$4:$B$100,2,FALSE),""))</x:f>
      </x:c>
      <x:c r="G41" s="527" t="str">
        <x:f>IF(OR(A41="",D41="",F41=""),"",D41*F41*(1+E41)/1000)</x:f>
      </x:c>
      <x:c r="H41" s="559" t="n"/>
      <x:c r="I41" s="559" t="n"/>
      <x:c r="J41" s="559" t="n"/>
      <x:c r="K41" s="559" t="n"/>
      <x:c r="L41" s="559" t="n"/>
      <x:c r="M41" s="527" t="str">
        <x:f>IF(A41="","",SUM(G41:L41))</x:f>
      </x:c>
      <x:c r="N41" s="527" t="str">
        <x:f>IF(M41="","",M41*$B$5)</x:f>
      </x:c>
      <x:c r="O41" s="557" t="n"/>
      <x:c r="P41" s="557" t="n"/>
      <x:c r="Q41" s="543" t="str">
        <x:f>IF(A41="","",IFERROR(VLOOKUP("TikTok|"&amp;O41&amp;"|"&amp;P41,'4_Phí sàn'!$A$4:$G$100,5,FALSE),0))</x:f>
      </x:c>
      <x:c r="R41" s="566" t="n"/>
      <x:c r="S41" s="540" t="str">
        <x:f>IF(A41="","",IF(R41&gt;0,R41,Q41))</x:f>
      </x:c>
      <x:c r="T41" s="540" t="str">
        <x:f>IF(A41="","",IFERROR(VLOOKUP("TikTok|"&amp;O41&amp;"|"&amp;P41,'4_Phí sàn'!$A$4:$G$100,6,FALSE),0))</x:f>
      </x:c>
      <x:c r="U41" s="540" t="str">
        <x:f>IF(A41="","",$B$6+$B$7)</x:f>
      </x:c>
      <x:c r="V41" s="566" t="n"/>
      <x:c r="W41" s="527" t="str">
        <x:f>IF(A41="","",IFERROR(VLOOKUP("TikTok|"&amp;O41&amp;"|"&amp;P41,'4_Phí sàn'!$A$4:$G$100,7,FALSE),3000))</x:f>
      </x:c>
      <x:c r="X41" s="527" t="str">
        <x:f>IF(OR(A41="",M41="",M41=0),"",CEILING((M41+N41+W41)/((1-V41)*(1-S41-T41-U41)),$D$5))</x:f>
      </x:c>
      <x:c r="Y41" s="527" t="str">
        <x:f>IF(X41="","",X41*(1-V41)*(S41+T41+U41)+W41)</x:f>
      </x:c>
      <x:c r="Z41" s="527" t="str">
        <x:f>IF(X41="","",X41*(1-V41)-Y41-M41)</x:f>
      </x:c>
      <x:c r="AA41" s="557" t="n"/>
      <x:c r="AB41" s="557" t="n"/>
      <x:c r="AC41" s="543" t="str">
        <x:f>IF(A41="","",IFERROR(VLOOKUP("Shopee|"&amp;AA41&amp;"|"&amp;AB41,'4_Phí sàn'!$A$4:$G$100,5,FALSE),0))</x:f>
      </x:c>
      <x:c r="AD41" s="566" t="n"/>
      <x:c r="AE41" s="540" t="str">
        <x:f>IF(A41="","",IF(AD41&gt;0,AD41,AC41))</x:f>
      </x:c>
      <x:c r="AF41" s="540" t="str">
        <x:f>IF(A41="","",IFERROR(VLOOKUP("Shopee|"&amp;AA41&amp;"|"&amp;AB41,'4_Phí sàn'!$A$4:$G$100,6,FALSE),0.06))</x:f>
      </x:c>
      <x:c r="AG41" s="537" t="str">
        <x:f>IF(A41="","",$D$6+$B$7)</x:f>
      </x:c>
      <x:c r="AH41" s="566" t="n">
        <x:f>$B$7</x:f>
        <x:v>0</x:v>
      </x:c>
      <x:c r="AI41" s="567" t="str">
        <x:f>IF(A41="","",IFERROR(VLOOKUP("Shopee|"&amp;AA41&amp;"|"&amp;AB41,'4_Phí sàn'!$A$4:$G$100,7,FALSE),3000))</x:f>
      </x:c>
      <x:c r="AJ41" s="559" t="n"/>
      <x:c r="AK41" s="559" t="n"/>
      <x:c r="AL41" s="527" t="str">
        <x:f>IF(OR(A41="",M41="",M41=0),"",CEILING((M41+N41+AI41+(AJ41-AK41)*AF41)/((1-AH41)*(1-AE41-AF41-AG41)),$D$5))</x:f>
      </x:c>
      <x:c r="AM41" s="527" t="str">
        <x:f>IF(AL41="","",AL41*(1-AH41)*(AE41+AG41)+((AL41*(1-AH41)+AJ41-AK41)*AF41)+AI41)</x:f>
      </x:c>
      <x:c r="AN41" s="527" t="str">
        <x:f>IF(AL41="","",AL41*(1-AH41)-AM41-M41)</x:f>
      </x:c>
      <x:c r="AO41" s="534" t="str">
        <x:f>IF(A41="","",IF(B41="","⚠ NHẬP TÊN",IF(OR(D41="",F41="",F41=0),"⚠ NHẬP KHỐI LƯỢNG/GIÁ NHỰA",IF(OR(Q41=0,AC41=0),"⚠ KIỂM TRA PHÍ","OK"))))</x:f>
      </x:c>
    </x:row>
    <x:row r="42">
      <x:c r="A42" s="557" t="n"/>
      <x:c r="B42" s="557" t="n"/>
      <x:c r="C42" s="557" t="n"/>
      <x:c r="D42" s="558" t="n"/>
      <x:c r="E42" s="566" t="n"/>
      <x:c r="F42" s="542" t="str">
        <x:f>IF(C42="","",IFERROR(VLOOKUP(C42,'3_Nhựa'!$A$4:$B$100,2,FALSE),""))</x:f>
      </x:c>
      <x:c r="G42" s="527" t="str">
        <x:f>IF(OR(A42="",D42="",F42=""),"",D42*F42*(1+E42)/1000)</x:f>
      </x:c>
      <x:c r="H42" s="559" t="n"/>
      <x:c r="I42" s="559" t="n"/>
      <x:c r="J42" s="559" t="n"/>
      <x:c r="K42" s="559" t="n"/>
      <x:c r="L42" s="559" t="n"/>
      <x:c r="M42" s="527" t="str">
        <x:f>IF(A42="","",SUM(G42:L42))</x:f>
      </x:c>
      <x:c r="N42" s="527" t="str">
        <x:f>IF(M42="","",M42*$B$5)</x:f>
      </x:c>
      <x:c r="O42" s="557" t="n"/>
      <x:c r="P42" s="557" t="n"/>
      <x:c r="Q42" s="543" t="str">
        <x:f>IF(A42="","",IFERROR(VLOOKUP("TikTok|"&amp;O42&amp;"|"&amp;P42,'4_Phí sàn'!$A$4:$G$100,5,FALSE),0))</x:f>
      </x:c>
      <x:c r="R42" s="566" t="n"/>
      <x:c r="S42" s="540" t="str">
        <x:f>IF(A42="","",IF(R42&gt;0,R42,Q42))</x:f>
      </x:c>
      <x:c r="T42" s="540" t="str">
        <x:f>IF(A42="","",IFERROR(VLOOKUP("TikTok|"&amp;O42&amp;"|"&amp;P42,'4_Phí sàn'!$A$4:$G$100,6,FALSE),0))</x:f>
      </x:c>
      <x:c r="U42" s="540" t="str">
        <x:f>IF(A42="","",$B$6+$B$7)</x:f>
      </x:c>
      <x:c r="V42" s="566" t="n"/>
      <x:c r="W42" s="527" t="str">
        <x:f>IF(A42="","",IFERROR(VLOOKUP("TikTok|"&amp;O42&amp;"|"&amp;P42,'4_Phí sàn'!$A$4:$G$100,7,FALSE),3000))</x:f>
      </x:c>
      <x:c r="X42" s="527" t="str">
        <x:f>IF(OR(A42="",M42="",M42=0),"",CEILING((M42+N42+W42)/((1-V42)*(1-S42-T42-U42)),$D$5))</x:f>
      </x:c>
      <x:c r="Y42" s="527" t="str">
        <x:f>IF(X42="","",X42*(1-V42)*(S42+T42+U42)+W42)</x:f>
      </x:c>
      <x:c r="Z42" s="527" t="str">
        <x:f>IF(X42="","",X42*(1-V42)-Y42-M42)</x:f>
      </x:c>
      <x:c r="AA42" s="557" t="n"/>
      <x:c r="AB42" s="557" t="n"/>
      <x:c r="AC42" s="543" t="str">
        <x:f>IF(A42="","",IFERROR(VLOOKUP("Shopee|"&amp;AA42&amp;"|"&amp;AB42,'4_Phí sàn'!$A$4:$G$100,5,FALSE),0))</x:f>
      </x:c>
      <x:c r="AD42" s="566" t="n"/>
      <x:c r="AE42" s="540" t="str">
        <x:f>IF(A42="","",IF(AD42&gt;0,AD42,AC42))</x:f>
      </x:c>
      <x:c r="AF42" s="540" t="str">
        <x:f>IF(A42="","",IFERROR(VLOOKUP("Shopee|"&amp;AA42&amp;"|"&amp;AB42,'4_Phí sàn'!$A$4:$G$100,6,FALSE),0.06))</x:f>
      </x:c>
      <x:c r="AG42" s="537" t="str">
        <x:f>IF(A42="","",$D$6+$B$7)</x:f>
      </x:c>
      <x:c r="AH42" s="566" t="n">
        <x:f>$B$7</x:f>
        <x:v>0</x:v>
      </x:c>
      <x:c r="AI42" s="567" t="str">
        <x:f>IF(A42="","",IFERROR(VLOOKUP("Shopee|"&amp;AA42&amp;"|"&amp;AB42,'4_Phí sàn'!$A$4:$G$100,7,FALSE),3000))</x:f>
      </x:c>
      <x:c r="AJ42" s="559" t="n"/>
      <x:c r="AK42" s="559" t="n"/>
      <x:c r="AL42" s="527" t="str">
        <x:f>IF(OR(A42="",M42="",M42=0),"",CEILING((M42+N42+AI42+(AJ42-AK42)*AF42)/((1-AH42)*(1-AE42-AF42-AG42)),$D$5))</x:f>
      </x:c>
      <x:c r="AM42" s="527" t="str">
        <x:f>IF(AL42="","",AL42*(1-AH42)*(AE42+AG42)+((AL42*(1-AH42)+AJ42-AK42)*AF42)+AI42)</x:f>
      </x:c>
      <x:c r="AN42" s="527" t="str">
        <x:f>IF(AL42="","",AL42*(1-AH42)-AM42-M42)</x:f>
      </x:c>
      <x:c r="AO42" s="534" t="str">
        <x:f>IF(A42="","",IF(B42="","⚠ NHẬP TÊN",IF(OR(D42="",F42="",F42=0),"⚠ NHẬP KHỐI LƯỢNG/GIÁ NHỰA",IF(OR(Q42=0,AC42=0),"⚠ KIỂM TRA PHÍ","OK"))))</x:f>
      </x:c>
    </x:row>
    <x:row r="43">
      <x:c r="A43" s="557" t="n"/>
      <x:c r="B43" s="557" t="n"/>
      <x:c r="C43" s="557" t="n"/>
      <x:c r="D43" s="558" t="n"/>
      <x:c r="E43" s="566" t="n"/>
      <x:c r="F43" s="542" t="str">
        <x:f>IF(C43="","",IFERROR(VLOOKUP(C43,'3_Nhựa'!$A$4:$B$100,2,FALSE),""))</x:f>
      </x:c>
      <x:c r="G43" s="527" t="str">
        <x:f>IF(OR(A43="",D43="",F43=""),"",D43*F43*(1+E43)/1000)</x:f>
      </x:c>
      <x:c r="H43" s="559" t="n"/>
      <x:c r="I43" s="559" t="n"/>
      <x:c r="J43" s="559" t="n"/>
      <x:c r="K43" s="559" t="n"/>
      <x:c r="L43" s="559" t="n"/>
      <x:c r="M43" s="527" t="str">
        <x:f>IF(A43="","",SUM(G43:L43))</x:f>
      </x:c>
      <x:c r="N43" s="527" t="str">
        <x:f>IF(M43="","",M43*$B$5)</x:f>
      </x:c>
      <x:c r="O43" s="557" t="n"/>
      <x:c r="P43" s="557" t="n"/>
      <x:c r="Q43" s="543" t="str">
        <x:f>IF(A43="","",IFERROR(VLOOKUP("TikTok|"&amp;O43&amp;"|"&amp;P43,'4_Phí sàn'!$A$4:$G$100,5,FALSE),0))</x:f>
      </x:c>
      <x:c r="R43" s="566" t="n"/>
      <x:c r="S43" s="540" t="str">
        <x:f>IF(A43="","",IF(R43&gt;0,R43,Q43))</x:f>
      </x:c>
      <x:c r="T43" s="540" t="str">
        <x:f>IF(A43="","",IFERROR(VLOOKUP("TikTok|"&amp;O43&amp;"|"&amp;P43,'4_Phí sàn'!$A$4:$G$100,6,FALSE),0))</x:f>
      </x:c>
      <x:c r="U43" s="540" t="str">
        <x:f>IF(A43="","",$B$6+$B$7)</x:f>
      </x:c>
      <x:c r="V43" s="566" t="n"/>
      <x:c r="W43" s="527" t="str">
        <x:f>IF(A43="","",IFERROR(VLOOKUP("TikTok|"&amp;O43&amp;"|"&amp;P43,'4_Phí sàn'!$A$4:$G$100,7,FALSE),3000))</x:f>
      </x:c>
      <x:c r="X43" s="527" t="str">
        <x:f>IF(OR(A43="",M43="",M43=0),"",CEILING((M43+N43+W43)/((1-V43)*(1-S43-T43-U43)),$D$5))</x:f>
      </x:c>
      <x:c r="Y43" s="527" t="str">
        <x:f>IF(X43="","",X43*(1-V43)*(S43+T43+U43)+W43)</x:f>
      </x:c>
      <x:c r="Z43" s="527" t="str">
        <x:f>IF(X43="","",X43*(1-V43)-Y43-M43)</x:f>
      </x:c>
      <x:c r="AA43" s="557" t="n"/>
      <x:c r="AB43" s="557" t="n"/>
      <x:c r="AC43" s="543" t="str">
        <x:f>IF(A43="","",IFERROR(VLOOKUP("Shopee|"&amp;AA43&amp;"|"&amp;AB43,'4_Phí sàn'!$A$4:$G$100,5,FALSE),0))</x:f>
      </x:c>
      <x:c r="AD43" s="566" t="n"/>
      <x:c r="AE43" s="540" t="str">
        <x:f>IF(A43="","",IF(AD43&gt;0,AD43,AC43))</x:f>
      </x:c>
      <x:c r="AF43" s="540" t="str">
        <x:f>IF(A43="","",IFERROR(VLOOKUP("Shopee|"&amp;AA43&amp;"|"&amp;AB43,'4_Phí sàn'!$A$4:$G$100,6,FALSE),0.06))</x:f>
      </x:c>
      <x:c r="AG43" s="537" t="str">
        <x:f>IF(A43="","",$D$6+$B$7)</x:f>
      </x:c>
      <x:c r="AH43" s="566" t="n">
        <x:f>$B$7</x:f>
        <x:v>0</x:v>
      </x:c>
      <x:c r="AI43" s="567" t="str">
        <x:f>IF(A43="","",IFERROR(VLOOKUP("Shopee|"&amp;AA43&amp;"|"&amp;AB43,'4_Phí sàn'!$A$4:$G$100,7,FALSE),3000))</x:f>
      </x:c>
      <x:c r="AJ43" s="559" t="n"/>
      <x:c r="AK43" s="559" t="n"/>
      <x:c r="AL43" s="527" t="str">
        <x:f>IF(OR(A43="",M43="",M43=0),"",CEILING((M43+N43+AI43+(AJ43-AK43)*AF43)/((1-AH43)*(1-AE43-AF43-AG43)),$D$5))</x:f>
      </x:c>
      <x:c r="AM43" s="527" t="str">
        <x:f>IF(AL43="","",AL43*(1-AH43)*(AE43+AG43)+((AL43*(1-AH43)+AJ43-AK43)*AF43)+AI43)</x:f>
      </x:c>
      <x:c r="AN43" s="527" t="str">
        <x:f>IF(AL43="","",AL43*(1-AH43)-AM43-M43)</x:f>
      </x:c>
      <x:c r="AO43" s="534" t="str">
        <x:f>IF(A43="","",IF(B43="","⚠ NHẬP TÊN",IF(OR(D43="",F43="",F43=0),"⚠ NHẬP KHỐI LƯỢNG/GIÁ NHỰA",IF(OR(Q43=0,AC43=0),"⚠ KIỂM TRA PHÍ","OK"))))</x:f>
      </x:c>
    </x:row>
    <x:row r="44">
      <x:c r="A44" s="557" t="n"/>
      <x:c r="B44" s="557" t="n"/>
      <x:c r="C44" s="557" t="n"/>
      <x:c r="D44" s="558" t="n"/>
      <x:c r="E44" s="566" t="n"/>
      <x:c r="F44" s="542" t="str">
        <x:f>IF(C44="","",IFERROR(VLOOKUP(C44,'3_Nhựa'!$A$4:$B$100,2,FALSE),""))</x:f>
      </x:c>
      <x:c r="G44" s="527" t="str">
        <x:f>IF(OR(A44="",D44="",F44=""),"",D44*F44*(1+E44)/1000)</x:f>
      </x:c>
      <x:c r="H44" s="559" t="n"/>
      <x:c r="I44" s="559" t="n"/>
      <x:c r="J44" s="559" t="n"/>
      <x:c r="K44" s="559" t="n"/>
      <x:c r="L44" s="559" t="n"/>
      <x:c r="M44" s="527" t="str">
        <x:f>IF(A44="","",SUM(G44:L44))</x:f>
      </x:c>
      <x:c r="N44" s="527" t="str">
        <x:f>IF(M44="","",M44*$B$5)</x:f>
      </x:c>
      <x:c r="O44" s="557" t="n"/>
      <x:c r="P44" s="557" t="n"/>
      <x:c r="Q44" s="543" t="str">
        <x:f>IF(A44="","",IFERROR(VLOOKUP("TikTok|"&amp;O44&amp;"|"&amp;P44,'4_Phí sàn'!$A$4:$G$100,5,FALSE),0))</x:f>
      </x:c>
      <x:c r="R44" s="566" t="n"/>
      <x:c r="S44" s="540" t="str">
        <x:f>IF(A44="","",IF(R44&gt;0,R44,Q44))</x:f>
      </x:c>
      <x:c r="T44" s="540" t="str">
        <x:f>IF(A44="","",IFERROR(VLOOKUP("TikTok|"&amp;O44&amp;"|"&amp;P44,'4_Phí sàn'!$A$4:$G$100,6,FALSE),0))</x:f>
      </x:c>
      <x:c r="U44" s="540" t="str">
        <x:f>IF(A44="","",$B$6+$B$7)</x:f>
      </x:c>
      <x:c r="V44" s="566" t="n"/>
      <x:c r="W44" s="527" t="str">
        <x:f>IF(A44="","",IFERROR(VLOOKUP("TikTok|"&amp;O44&amp;"|"&amp;P44,'4_Phí sàn'!$A$4:$G$100,7,FALSE),3000))</x:f>
      </x:c>
      <x:c r="X44" s="527" t="str">
        <x:f>IF(OR(A44="",M44="",M44=0),"",CEILING((M44+N44+W44)/((1-V44)*(1-S44-T44-U44)),$D$5))</x:f>
      </x:c>
      <x:c r="Y44" s="527" t="str">
        <x:f>IF(X44="","",X44*(1-V44)*(S44+T44+U44)+W44)</x:f>
      </x:c>
      <x:c r="Z44" s="527" t="str">
        <x:f>IF(X44="","",X44*(1-V44)-Y44-M44)</x:f>
      </x:c>
      <x:c r="AA44" s="557" t="n"/>
      <x:c r="AB44" s="557" t="n"/>
      <x:c r="AC44" s="543" t="str">
        <x:f>IF(A44="","",IFERROR(VLOOKUP("Shopee|"&amp;AA44&amp;"|"&amp;AB44,'4_Phí sàn'!$A$4:$G$100,5,FALSE),0))</x:f>
      </x:c>
      <x:c r="AD44" s="566" t="n"/>
      <x:c r="AE44" s="540" t="str">
        <x:f>IF(A44="","",IF(AD44&gt;0,AD44,AC44))</x:f>
      </x:c>
      <x:c r="AF44" s="540" t="str">
        <x:f>IF(A44="","",IFERROR(VLOOKUP("Shopee|"&amp;AA44&amp;"|"&amp;AB44,'4_Phí sàn'!$A$4:$G$100,6,FALSE),0.06))</x:f>
      </x:c>
      <x:c r="AG44" s="537" t="str">
        <x:f>IF(A44="","",$D$6+$B$7)</x:f>
      </x:c>
      <x:c r="AH44" s="566" t="n">
        <x:f>$B$7</x:f>
        <x:v>0</x:v>
      </x:c>
      <x:c r="AI44" s="567" t="str">
        <x:f>IF(A44="","",IFERROR(VLOOKUP("Shopee|"&amp;AA44&amp;"|"&amp;AB44,'4_Phí sàn'!$A$4:$G$100,7,FALSE),3000))</x:f>
      </x:c>
      <x:c r="AJ44" s="559" t="n"/>
      <x:c r="AK44" s="559" t="n"/>
      <x:c r="AL44" s="527" t="str">
        <x:f>IF(OR(A44="",M44="",M44=0),"",CEILING((M44+N44+AI44+(AJ44-AK44)*AF44)/((1-AH44)*(1-AE44-AF44-AG44)),$D$5))</x:f>
      </x:c>
      <x:c r="AM44" s="527" t="str">
        <x:f>IF(AL44="","",AL44*(1-AH44)*(AE44+AG44)+((AL44*(1-AH44)+AJ44-AK44)*AF44)+AI44)</x:f>
      </x:c>
      <x:c r="AN44" s="527" t="str">
        <x:f>IF(AL44="","",AL44*(1-AH44)-AM44-M44)</x:f>
      </x:c>
      <x:c r="AO44" s="534" t="str">
        <x:f>IF(A44="","",IF(B44="","⚠ NHẬP TÊN",IF(OR(D44="",F44="",F44=0),"⚠ NHẬP KHỐI LƯỢNG/GIÁ NHỰA",IF(OR(Q44=0,AC44=0),"⚠ KIỂM TRA PHÍ","OK"))))</x:f>
      </x:c>
    </x:row>
    <x:row r="45">
      <x:c r="A45" s="557" t="n"/>
      <x:c r="B45" s="557" t="n"/>
      <x:c r="C45" s="557" t="n"/>
      <x:c r="D45" s="558" t="n"/>
      <x:c r="E45" s="566" t="n"/>
      <x:c r="F45" s="542" t="str">
        <x:f>IF(C45="","",IFERROR(VLOOKUP(C45,'3_Nhựa'!$A$4:$B$100,2,FALSE),""))</x:f>
      </x:c>
      <x:c r="G45" s="527" t="str">
        <x:f>IF(OR(A45="",D45="",F45=""),"",D45*F45*(1+E45)/1000)</x:f>
      </x:c>
      <x:c r="H45" s="559" t="n"/>
      <x:c r="I45" s="559" t="n"/>
      <x:c r="J45" s="559" t="n"/>
      <x:c r="K45" s="559" t="n"/>
      <x:c r="L45" s="559" t="n"/>
      <x:c r="M45" s="527" t="str">
        <x:f>IF(A45="","",SUM(G45:L45))</x:f>
      </x:c>
      <x:c r="N45" s="527" t="str">
        <x:f>IF(M45="","",M45*$B$5)</x:f>
      </x:c>
      <x:c r="O45" s="557" t="n"/>
      <x:c r="P45" s="557" t="n"/>
      <x:c r="Q45" s="543" t="str">
        <x:f>IF(A45="","",IFERROR(VLOOKUP("TikTok|"&amp;O45&amp;"|"&amp;P45,'4_Phí sàn'!$A$4:$G$100,5,FALSE),0))</x:f>
      </x:c>
      <x:c r="R45" s="566" t="n"/>
      <x:c r="S45" s="540" t="str">
        <x:f>IF(A45="","",IF(R45&gt;0,R45,Q45))</x:f>
      </x:c>
      <x:c r="T45" s="540" t="str">
        <x:f>IF(A45="","",IFERROR(VLOOKUP("TikTok|"&amp;O45&amp;"|"&amp;P45,'4_Phí sàn'!$A$4:$G$100,6,FALSE),0))</x:f>
      </x:c>
      <x:c r="U45" s="540" t="str">
        <x:f>IF(A45="","",$B$6+$B$7)</x:f>
      </x:c>
      <x:c r="V45" s="566" t="n"/>
      <x:c r="W45" s="527" t="str">
        <x:f>IF(A45="","",IFERROR(VLOOKUP("TikTok|"&amp;O45&amp;"|"&amp;P45,'4_Phí sàn'!$A$4:$G$100,7,FALSE),3000))</x:f>
      </x:c>
      <x:c r="X45" s="527" t="str">
        <x:f>IF(OR(A45="",M45="",M45=0),"",CEILING((M45+N45+W45)/((1-V45)*(1-S45-T45-U45)),$D$5))</x:f>
      </x:c>
      <x:c r="Y45" s="527" t="str">
        <x:f>IF(X45="","",X45*(1-V45)*(S45+T45+U45)+W45)</x:f>
      </x:c>
      <x:c r="Z45" s="527" t="str">
        <x:f>IF(X45="","",X45*(1-V45)-Y45-M45)</x:f>
      </x:c>
      <x:c r="AA45" s="557" t="n"/>
      <x:c r="AB45" s="557" t="n"/>
      <x:c r="AC45" s="543" t="str">
        <x:f>IF(A45="","",IFERROR(VLOOKUP("Shopee|"&amp;AA45&amp;"|"&amp;AB45,'4_Phí sàn'!$A$4:$G$100,5,FALSE),0))</x:f>
      </x:c>
      <x:c r="AD45" s="566" t="n"/>
      <x:c r="AE45" s="540" t="str">
        <x:f>IF(A45="","",IF(AD45&gt;0,AD45,AC45))</x:f>
      </x:c>
      <x:c r="AF45" s="540" t="str">
        <x:f>IF(A45="","",IFERROR(VLOOKUP("Shopee|"&amp;AA45&amp;"|"&amp;AB45,'4_Phí sàn'!$A$4:$G$100,6,FALSE),0.06))</x:f>
      </x:c>
      <x:c r="AG45" s="537" t="str">
        <x:f>IF(A45="","",$D$6+$B$7)</x:f>
      </x:c>
      <x:c r="AH45" s="566" t="n">
        <x:f>$B$7</x:f>
        <x:v>0</x:v>
      </x:c>
      <x:c r="AI45" s="567" t="str">
        <x:f>IF(A45="","",IFERROR(VLOOKUP("Shopee|"&amp;AA45&amp;"|"&amp;AB45,'4_Phí sàn'!$A$4:$G$100,7,FALSE),3000))</x:f>
      </x:c>
      <x:c r="AJ45" s="559" t="n"/>
      <x:c r="AK45" s="559" t="n"/>
      <x:c r="AL45" s="527" t="str">
        <x:f>IF(OR(A45="",M45="",M45=0),"",CEILING((M45+N45+AI45+(AJ45-AK45)*AF45)/((1-AH45)*(1-AE45-AF45-AG45)),$D$5))</x:f>
      </x:c>
      <x:c r="AM45" s="527" t="str">
        <x:f>IF(AL45="","",AL45*(1-AH45)*(AE45+AG45)+((AL45*(1-AH45)+AJ45-AK45)*AF45)+AI45)</x:f>
      </x:c>
      <x:c r="AN45" s="527" t="str">
        <x:f>IF(AL45="","",AL45*(1-AH45)-AM45-M45)</x:f>
      </x:c>
      <x:c r="AO45" s="534" t="str">
        <x:f>IF(A45="","",IF(B45="","⚠ NHẬP TÊN",IF(OR(D45="",F45="",F45=0),"⚠ NHẬP KHỐI LƯỢNG/GIÁ NHỰA",IF(OR(Q45=0,AC45=0),"⚠ KIỂM TRA PHÍ","OK"))))</x:f>
      </x:c>
    </x:row>
    <x:row r="46">
      <x:c r="A46" s="557" t="n"/>
      <x:c r="B46" s="557" t="n"/>
      <x:c r="C46" s="557" t="n"/>
      <x:c r="D46" s="558" t="n"/>
      <x:c r="E46" s="566" t="n"/>
      <x:c r="F46" s="542" t="str">
        <x:f>IF(C46="","",IFERROR(VLOOKUP(C46,'3_Nhựa'!$A$4:$B$100,2,FALSE),""))</x:f>
      </x:c>
      <x:c r="G46" s="527" t="str">
        <x:f>IF(OR(A46="",D46="",F46=""),"",D46*F46*(1+E46)/1000)</x:f>
      </x:c>
      <x:c r="H46" s="559" t="n"/>
      <x:c r="I46" s="559" t="n"/>
      <x:c r="J46" s="559" t="n"/>
      <x:c r="K46" s="559" t="n"/>
      <x:c r="L46" s="559" t="n"/>
      <x:c r="M46" s="527" t="str">
        <x:f>IF(A46="","",SUM(G46:L46))</x:f>
      </x:c>
      <x:c r="N46" s="527" t="str">
        <x:f>IF(M46="","",M46*$B$5)</x:f>
      </x:c>
      <x:c r="O46" s="557" t="n"/>
      <x:c r="P46" s="557" t="n"/>
      <x:c r="Q46" s="543" t="str">
        <x:f>IF(A46="","",IFERROR(VLOOKUP("TikTok|"&amp;O46&amp;"|"&amp;P46,'4_Phí sàn'!$A$4:$G$100,5,FALSE),0))</x:f>
      </x:c>
      <x:c r="R46" s="566" t="n"/>
      <x:c r="S46" s="540" t="str">
        <x:f>IF(A46="","",IF(R46&gt;0,R46,Q46))</x:f>
      </x:c>
      <x:c r="T46" s="540" t="str">
        <x:f>IF(A46="","",IFERROR(VLOOKUP("TikTok|"&amp;O46&amp;"|"&amp;P46,'4_Phí sàn'!$A$4:$G$100,6,FALSE),0))</x:f>
      </x:c>
      <x:c r="U46" s="540" t="str">
        <x:f>IF(A46="","",$B$6+$B$7)</x:f>
      </x:c>
      <x:c r="V46" s="566" t="n"/>
      <x:c r="W46" s="527" t="str">
        <x:f>IF(A46="","",IFERROR(VLOOKUP("TikTok|"&amp;O46&amp;"|"&amp;P46,'4_Phí sàn'!$A$4:$G$100,7,FALSE),3000))</x:f>
      </x:c>
      <x:c r="X46" s="527" t="str">
        <x:f>IF(OR(A46="",M46="",M46=0),"",CEILING((M46+N46+W46)/((1-V46)*(1-S46-T46-U46)),$D$5))</x:f>
      </x:c>
      <x:c r="Y46" s="527" t="str">
        <x:f>IF(X46="","",X46*(1-V46)*(S46+T46+U46)+W46)</x:f>
      </x:c>
      <x:c r="Z46" s="527" t="str">
        <x:f>IF(X46="","",X46*(1-V46)-Y46-M46)</x:f>
      </x:c>
      <x:c r="AA46" s="557" t="n"/>
      <x:c r="AB46" s="557" t="n"/>
      <x:c r="AC46" s="543" t="str">
        <x:f>IF(A46="","",IFERROR(VLOOKUP("Shopee|"&amp;AA46&amp;"|"&amp;AB46,'4_Phí sàn'!$A$4:$G$100,5,FALSE),0))</x:f>
      </x:c>
      <x:c r="AD46" s="566" t="n"/>
      <x:c r="AE46" s="540" t="str">
        <x:f>IF(A46="","",IF(AD46&gt;0,AD46,AC46))</x:f>
      </x:c>
      <x:c r="AF46" s="540" t="str">
        <x:f>IF(A46="","",IFERROR(VLOOKUP("Shopee|"&amp;AA46&amp;"|"&amp;AB46,'4_Phí sàn'!$A$4:$G$100,6,FALSE),0.06))</x:f>
      </x:c>
      <x:c r="AG46" s="537" t="str">
        <x:f>IF(A46="","",$D$6+$B$7)</x:f>
      </x:c>
      <x:c r="AH46" s="566" t="n">
        <x:f>$B$7</x:f>
        <x:v>0</x:v>
      </x:c>
      <x:c r="AI46" s="567" t="str">
        <x:f>IF(A46="","",IFERROR(VLOOKUP("Shopee|"&amp;AA46&amp;"|"&amp;AB46,'4_Phí sàn'!$A$4:$G$100,7,FALSE),3000))</x:f>
      </x:c>
      <x:c r="AJ46" s="559" t="n"/>
      <x:c r="AK46" s="559" t="n"/>
      <x:c r="AL46" s="527" t="str">
        <x:f>IF(OR(A46="",M46="",M46=0),"",CEILING((M46+N46+AI46+(AJ46-AK46)*AF46)/((1-AH46)*(1-AE46-AF46-AG46)),$D$5))</x:f>
      </x:c>
      <x:c r="AM46" s="527" t="str">
        <x:f>IF(AL46="","",AL46*(1-AH46)*(AE46+AG46)+((AL46*(1-AH46)+AJ46-AK46)*AF46)+AI46)</x:f>
      </x:c>
      <x:c r="AN46" s="527" t="str">
        <x:f>IF(AL46="","",AL46*(1-AH46)-AM46-M46)</x:f>
      </x:c>
      <x:c r="AO46" s="534" t="str">
        <x:f>IF(A46="","",IF(B46="","⚠ NHẬP TÊN",IF(OR(D46="",F46="",F46=0),"⚠ NHẬP KHỐI LƯỢNG/GIÁ NHỰA",IF(OR(Q46=0,AC46=0),"⚠ KIỂM TRA PHÍ","OK"))))</x:f>
      </x:c>
    </x:row>
    <x:row r="47">
      <x:c r="A47" s="557" t="n"/>
      <x:c r="B47" s="557" t="n"/>
      <x:c r="C47" s="557" t="n"/>
      <x:c r="D47" s="558" t="n"/>
      <x:c r="E47" s="566" t="n"/>
      <x:c r="F47" s="542" t="str">
        <x:f>IF(C47="","",IFERROR(VLOOKUP(C47,'3_Nhựa'!$A$4:$B$100,2,FALSE),""))</x:f>
      </x:c>
      <x:c r="G47" s="527" t="str">
        <x:f>IF(OR(A47="",D47="",F47=""),"",D47*F47*(1+E47)/1000)</x:f>
      </x:c>
      <x:c r="H47" s="559" t="n"/>
      <x:c r="I47" s="559" t="n"/>
      <x:c r="J47" s="559" t="n"/>
      <x:c r="K47" s="559" t="n"/>
      <x:c r="L47" s="559" t="n"/>
      <x:c r="M47" s="527" t="str">
        <x:f>IF(A47="","",SUM(G47:L47))</x:f>
      </x:c>
      <x:c r="N47" s="527" t="str">
        <x:f>IF(M47="","",M47*$B$5)</x:f>
      </x:c>
      <x:c r="O47" s="557" t="n"/>
      <x:c r="P47" s="557" t="n"/>
      <x:c r="Q47" s="543" t="str">
        <x:f>IF(A47="","",IFERROR(VLOOKUP("TikTok|"&amp;O47&amp;"|"&amp;P47,'4_Phí sàn'!$A$4:$G$100,5,FALSE),0))</x:f>
      </x:c>
      <x:c r="R47" s="566" t="n"/>
      <x:c r="S47" s="540" t="str">
        <x:f>IF(A47="","",IF(R47&gt;0,R47,Q47))</x:f>
      </x:c>
      <x:c r="T47" s="540" t="str">
        <x:f>IF(A47="","",IFERROR(VLOOKUP("TikTok|"&amp;O47&amp;"|"&amp;P47,'4_Phí sàn'!$A$4:$G$100,6,FALSE),0))</x:f>
      </x:c>
      <x:c r="U47" s="540" t="str">
        <x:f>IF(A47="","",$B$6+$B$7)</x:f>
      </x:c>
      <x:c r="V47" s="566" t="n"/>
      <x:c r="W47" s="527" t="str">
        <x:f>IF(A47="","",IFERROR(VLOOKUP("TikTok|"&amp;O47&amp;"|"&amp;P47,'4_Phí sàn'!$A$4:$G$100,7,FALSE),3000))</x:f>
      </x:c>
      <x:c r="X47" s="527" t="str">
        <x:f>IF(OR(A47="",M47="",M47=0),"",CEILING((M47+N47+W47)/((1-V47)*(1-S47-T47-U47)),$D$5))</x:f>
      </x:c>
      <x:c r="Y47" s="527" t="str">
        <x:f>IF(X47="","",X47*(1-V47)*(S47+T47+U47)+W47)</x:f>
      </x:c>
      <x:c r="Z47" s="527" t="str">
        <x:f>IF(X47="","",X47*(1-V47)-Y47-M47)</x:f>
      </x:c>
      <x:c r="AA47" s="557" t="n"/>
      <x:c r="AB47" s="557" t="n"/>
      <x:c r="AC47" s="543" t="str">
        <x:f>IF(A47="","",IFERROR(VLOOKUP("Shopee|"&amp;AA47&amp;"|"&amp;AB47,'4_Phí sàn'!$A$4:$G$100,5,FALSE),0))</x:f>
      </x:c>
      <x:c r="AD47" s="566" t="n"/>
      <x:c r="AE47" s="540" t="str">
        <x:f>IF(A47="","",IF(AD47&gt;0,AD47,AC47))</x:f>
      </x:c>
      <x:c r="AF47" s="540" t="str">
        <x:f>IF(A47="","",IFERROR(VLOOKUP("Shopee|"&amp;AA47&amp;"|"&amp;AB47,'4_Phí sàn'!$A$4:$G$100,6,FALSE),0.06))</x:f>
      </x:c>
      <x:c r="AG47" s="537" t="str">
        <x:f>IF(A47="","",$D$6+$B$7)</x:f>
      </x:c>
      <x:c r="AH47" s="566" t="n">
        <x:f>$B$7</x:f>
        <x:v>0</x:v>
      </x:c>
      <x:c r="AI47" s="567" t="str">
        <x:f>IF(A47="","",IFERROR(VLOOKUP("Shopee|"&amp;AA47&amp;"|"&amp;AB47,'4_Phí sàn'!$A$4:$G$100,7,FALSE),3000))</x:f>
      </x:c>
      <x:c r="AJ47" s="559" t="n"/>
      <x:c r="AK47" s="559" t="n"/>
      <x:c r="AL47" s="527" t="str">
        <x:f>IF(OR(A47="",M47="",M47=0),"",CEILING((M47+N47+AI47+(AJ47-AK47)*AF47)/((1-AH47)*(1-AE47-AF47-AG47)),$D$5))</x:f>
      </x:c>
      <x:c r="AM47" s="527" t="str">
        <x:f>IF(AL47="","",AL47*(1-AH47)*(AE47+AG47)+((AL47*(1-AH47)+AJ47-AK47)*AF47)+AI47)</x:f>
      </x:c>
      <x:c r="AN47" s="527" t="str">
        <x:f>IF(AL47="","",AL47*(1-AH47)-AM47-M47)</x:f>
      </x:c>
      <x:c r="AO47" s="534" t="str">
        <x:f>IF(A47="","",IF(B47="","⚠ NHẬP TÊN",IF(OR(D47="",F47="",F47=0),"⚠ NHẬP KHỐI LƯỢNG/GIÁ NHỰA",IF(OR(Q47=0,AC47=0),"⚠ KIỂM TRA PHÍ","OK"))))</x:f>
      </x:c>
    </x:row>
    <x:row r="48">
      <x:c r="A48" s="557" t="n"/>
      <x:c r="B48" s="557" t="n"/>
      <x:c r="C48" s="557" t="n"/>
      <x:c r="D48" s="558" t="n"/>
      <x:c r="E48" s="566" t="n"/>
      <x:c r="F48" s="542" t="str">
        <x:f>IF(C48="","",IFERROR(VLOOKUP(C48,'3_Nhựa'!$A$4:$B$100,2,FALSE),""))</x:f>
      </x:c>
      <x:c r="G48" s="527" t="str">
        <x:f>IF(OR(A48="",D48="",F48=""),"",D48*F48*(1+E48)/1000)</x:f>
      </x:c>
      <x:c r="H48" s="559" t="n"/>
      <x:c r="I48" s="559" t="n"/>
      <x:c r="J48" s="559" t="n"/>
      <x:c r="K48" s="559" t="n"/>
      <x:c r="L48" s="559" t="n"/>
      <x:c r="M48" s="527" t="str">
        <x:f>IF(A48="","",SUM(G48:L48))</x:f>
      </x:c>
      <x:c r="N48" s="527" t="str">
        <x:f>IF(M48="","",M48*$B$5)</x:f>
      </x:c>
      <x:c r="O48" s="557" t="n"/>
      <x:c r="P48" s="557" t="n"/>
      <x:c r="Q48" s="543" t="str">
        <x:f>IF(A48="","",IFERROR(VLOOKUP("TikTok|"&amp;O48&amp;"|"&amp;P48,'4_Phí sàn'!$A$4:$G$100,5,FALSE),0))</x:f>
      </x:c>
      <x:c r="R48" s="566" t="n"/>
      <x:c r="S48" s="540" t="str">
        <x:f>IF(A48="","",IF(R48&gt;0,R48,Q48))</x:f>
      </x:c>
      <x:c r="T48" s="540" t="str">
        <x:f>IF(A48="","",IFERROR(VLOOKUP("TikTok|"&amp;O48&amp;"|"&amp;P48,'4_Phí sàn'!$A$4:$G$100,6,FALSE),0))</x:f>
      </x:c>
      <x:c r="U48" s="540" t="str">
        <x:f>IF(A48="","",$B$6+$B$7)</x:f>
      </x:c>
      <x:c r="V48" s="566" t="n"/>
      <x:c r="W48" s="527" t="str">
        <x:f>IF(A48="","",IFERROR(VLOOKUP("TikTok|"&amp;O48&amp;"|"&amp;P48,'4_Phí sàn'!$A$4:$G$100,7,FALSE),3000))</x:f>
      </x:c>
      <x:c r="X48" s="527" t="str">
        <x:f>IF(OR(A48="",M48="",M48=0),"",CEILING((M48+N48+W48)/((1-V48)*(1-S48-T48-U48)),$D$5))</x:f>
      </x:c>
      <x:c r="Y48" s="527" t="str">
        <x:f>IF(X48="","",X48*(1-V48)*(S48+T48+U48)+W48)</x:f>
      </x:c>
      <x:c r="Z48" s="527" t="str">
        <x:f>IF(X48="","",X48*(1-V48)-Y48-M48)</x:f>
      </x:c>
      <x:c r="AA48" s="557" t="n"/>
      <x:c r="AB48" s="557" t="n"/>
      <x:c r="AC48" s="543" t="str">
        <x:f>IF(A48="","",IFERROR(VLOOKUP("Shopee|"&amp;AA48&amp;"|"&amp;AB48,'4_Phí sàn'!$A$4:$G$100,5,FALSE),0))</x:f>
      </x:c>
      <x:c r="AD48" s="566" t="n"/>
      <x:c r="AE48" s="540" t="str">
        <x:f>IF(A48="","",IF(AD48&gt;0,AD48,AC48))</x:f>
      </x:c>
      <x:c r="AF48" s="540" t="str">
        <x:f>IF(A48="","",IFERROR(VLOOKUP("Shopee|"&amp;AA48&amp;"|"&amp;AB48,'4_Phí sàn'!$A$4:$G$100,6,FALSE),0.06))</x:f>
      </x:c>
      <x:c r="AG48" s="537" t="str">
        <x:f>IF(A48="","",$D$6+$B$7)</x:f>
      </x:c>
      <x:c r="AH48" s="566" t="n">
        <x:f>$B$7</x:f>
        <x:v>0</x:v>
      </x:c>
      <x:c r="AI48" s="567" t="str">
        <x:f>IF(A48="","",IFERROR(VLOOKUP("Shopee|"&amp;AA48&amp;"|"&amp;AB48,'4_Phí sàn'!$A$4:$G$100,7,FALSE),3000))</x:f>
      </x:c>
      <x:c r="AJ48" s="559" t="n"/>
      <x:c r="AK48" s="559" t="n"/>
      <x:c r="AL48" s="527" t="str">
        <x:f>IF(OR(A48="",M48="",M48=0),"",CEILING((M48+N48+AI48+(AJ48-AK48)*AF48)/((1-AH48)*(1-AE48-AF48-AG48)),$D$5))</x:f>
      </x:c>
      <x:c r="AM48" s="527" t="str">
        <x:f>IF(AL48="","",AL48*(1-AH48)*(AE48+AG48)+((AL48*(1-AH48)+AJ48-AK48)*AF48)+AI48)</x:f>
      </x:c>
      <x:c r="AN48" s="527" t="str">
        <x:f>IF(AL48="","",AL48*(1-AH48)-AM48-M48)</x:f>
      </x:c>
      <x:c r="AO48" s="534" t="str">
        <x:f>IF(A48="","",IF(B48="","⚠ NHẬP TÊN",IF(OR(D48="",F48="",F48=0),"⚠ NHẬP KHỐI LƯỢNG/GIÁ NHỰA",IF(OR(Q48=0,AC48=0),"⚠ KIỂM TRA PHÍ","OK"))))</x:f>
      </x:c>
    </x:row>
    <x:row r="49">
      <x:c r="A49" s="557" t="n"/>
      <x:c r="B49" s="557" t="n"/>
      <x:c r="C49" s="557" t="n"/>
      <x:c r="D49" s="558" t="n"/>
      <x:c r="E49" s="566" t="n"/>
      <x:c r="F49" s="542" t="str">
        <x:f>IF(C49="","",IFERROR(VLOOKUP(C49,'3_Nhựa'!$A$4:$B$100,2,FALSE),""))</x:f>
      </x:c>
      <x:c r="G49" s="527" t="str">
        <x:f>IF(OR(A49="",D49="",F49=""),"",D49*F49*(1+E49)/1000)</x:f>
      </x:c>
      <x:c r="H49" s="559" t="n"/>
      <x:c r="I49" s="559" t="n"/>
      <x:c r="J49" s="559" t="n"/>
      <x:c r="K49" s="559" t="n"/>
      <x:c r="L49" s="559" t="n"/>
      <x:c r="M49" s="527" t="str">
        <x:f>IF(A49="","",SUM(G49:L49))</x:f>
      </x:c>
      <x:c r="N49" s="527" t="str">
        <x:f>IF(M49="","",M49*$B$5)</x:f>
      </x:c>
      <x:c r="O49" s="557" t="n"/>
      <x:c r="P49" s="557" t="n"/>
      <x:c r="Q49" s="543" t="str">
        <x:f>IF(A49="","",IFERROR(VLOOKUP("TikTok|"&amp;O49&amp;"|"&amp;P49,'4_Phí sàn'!$A$4:$G$100,5,FALSE),0))</x:f>
      </x:c>
      <x:c r="R49" s="566" t="n"/>
      <x:c r="S49" s="540" t="str">
        <x:f>IF(A49="","",IF(R49&gt;0,R49,Q49))</x:f>
      </x:c>
      <x:c r="T49" s="540" t="str">
        <x:f>IF(A49="","",IFERROR(VLOOKUP("TikTok|"&amp;O49&amp;"|"&amp;P49,'4_Phí sàn'!$A$4:$G$100,6,FALSE),0))</x:f>
      </x:c>
      <x:c r="U49" s="540" t="str">
        <x:f>IF(A49="","",$B$6+$B$7)</x:f>
      </x:c>
      <x:c r="V49" s="566" t="n"/>
      <x:c r="W49" s="527" t="str">
        <x:f>IF(A49="","",IFERROR(VLOOKUP("TikTok|"&amp;O49&amp;"|"&amp;P49,'4_Phí sàn'!$A$4:$G$100,7,FALSE),3000))</x:f>
      </x:c>
      <x:c r="X49" s="527" t="str">
        <x:f>IF(OR(A49="",M49="",M49=0),"",CEILING((M49+N49+W49)/((1-V49)*(1-S49-T49-U49)),$D$5))</x:f>
      </x:c>
      <x:c r="Y49" s="527" t="str">
        <x:f>IF(X49="","",X49*(1-V49)*(S49+T49+U49)+W49)</x:f>
      </x:c>
      <x:c r="Z49" s="527" t="str">
        <x:f>IF(X49="","",X49*(1-V49)-Y49-M49)</x:f>
      </x:c>
      <x:c r="AA49" s="557" t="n"/>
      <x:c r="AB49" s="557" t="n"/>
      <x:c r="AC49" s="543" t="str">
        <x:f>IF(A49="","",IFERROR(VLOOKUP("Shopee|"&amp;AA49&amp;"|"&amp;AB49,'4_Phí sàn'!$A$4:$G$100,5,FALSE),0))</x:f>
      </x:c>
      <x:c r="AD49" s="566" t="n"/>
      <x:c r="AE49" s="540" t="str">
        <x:f>IF(A49="","",IF(AD49&gt;0,AD49,AC49))</x:f>
      </x:c>
      <x:c r="AF49" s="540" t="str">
        <x:f>IF(A49="","",IFERROR(VLOOKUP("Shopee|"&amp;AA49&amp;"|"&amp;AB49,'4_Phí sàn'!$A$4:$G$100,6,FALSE),0.06))</x:f>
      </x:c>
      <x:c r="AG49" s="537" t="str">
        <x:f>IF(A49="","",$D$6+$B$7)</x:f>
      </x:c>
      <x:c r="AH49" s="566" t="n">
        <x:f>$B$7</x:f>
        <x:v>0</x:v>
      </x:c>
      <x:c r="AI49" s="567" t="str">
        <x:f>IF(A49="","",IFERROR(VLOOKUP("Shopee|"&amp;AA49&amp;"|"&amp;AB49,'4_Phí sàn'!$A$4:$G$100,7,FALSE),3000))</x:f>
      </x:c>
      <x:c r="AJ49" s="559" t="n"/>
      <x:c r="AK49" s="559" t="n"/>
      <x:c r="AL49" s="527" t="str">
        <x:f>IF(OR(A49="",M49="",M49=0),"",CEILING((M49+N49+AI49+(AJ49-AK49)*AF49)/((1-AH49)*(1-AE49-AF49-AG49)),$D$5))</x:f>
      </x:c>
      <x:c r="AM49" s="527" t="str">
        <x:f>IF(AL49="","",AL49*(1-AH49)*(AE49+AG49)+((AL49*(1-AH49)+AJ49-AK49)*AF49)+AI49)</x:f>
      </x:c>
      <x:c r="AN49" s="527" t="str">
        <x:f>IF(AL49="","",AL49*(1-AH49)-AM49-M49)</x:f>
      </x:c>
      <x:c r="AO49" s="534" t="str">
        <x:f>IF(A49="","",IF(B49="","⚠ NHẬP TÊN",IF(OR(D49="",F49="",F49=0),"⚠ NHẬP KHỐI LƯỢNG/GIÁ NHỰA",IF(OR(Q49=0,AC49=0),"⚠ KIỂM TRA PHÍ","OK"))))</x:f>
      </x:c>
    </x:row>
    <x:row r="50">
      <x:c r="A50" s="557" t="n"/>
      <x:c r="B50" s="557" t="n"/>
      <x:c r="C50" s="557" t="n"/>
      <x:c r="D50" s="558" t="n"/>
      <x:c r="E50" s="566" t="n"/>
      <x:c r="F50" s="542" t="str">
        <x:f>IF(C50="","",IFERROR(VLOOKUP(C50,'3_Nhựa'!$A$4:$B$100,2,FALSE),""))</x:f>
      </x:c>
      <x:c r="G50" s="527" t="str">
        <x:f>IF(OR(A50="",D50="",F50=""),"",D50*F50*(1+E50)/1000)</x:f>
      </x:c>
      <x:c r="H50" s="559" t="n"/>
      <x:c r="I50" s="559" t="n"/>
      <x:c r="J50" s="559" t="n"/>
      <x:c r="K50" s="559" t="n"/>
      <x:c r="L50" s="559" t="n"/>
      <x:c r="M50" s="527" t="str">
        <x:f>IF(A50="","",SUM(G50:L50))</x:f>
      </x:c>
      <x:c r="N50" s="527" t="str">
        <x:f>IF(M50="","",M50*$B$5)</x:f>
      </x:c>
      <x:c r="O50" s="557" t="n"/>
      <x:c r="P50" s="557" t="n"/>
      <x:c r="Q50" s="543" t="str">
        <x:f>IF(A50="","",IFERROR(VLOOKUP("TikTok|"&amp;O50&amp;"|"&amp;P50,'4_Phí sàn'!$A$4:$G$100,5,FALSE),0))</x:f>
      </x:c>
      <x:c r="R50" s="566" t="n"/>
      <x:c r="S50" s="540" t="str">
        <x:f>IF(A50="","",IF(R50&gt;0,R50,Q50))</x:f>
      </x:c>
      <x:c r="T50" s="540" t="str">
        <x:f>IF(A50="","",IFERROR(VLOOKUP("TikTok|"&amp;O50&amp;"|"&amp;P50,'4_Phí sàn'!$A$4:$G$100,6,FALSE),0))</x:f>
      </x:c>
      <x:c r="U50" s="540" t="str">
        <x:f>IF(A50="","",$B$6+$B$7)</x:f>
      </x:c>
      <x:c r="V50" s="566" t="n"/>
      <x:c r="W50" s="527" t="str">
        <x:f>IF(A50="","",IFERROR(VLOOKUP("TikTok|"&amp;O50&amp;"|"&amp;P50,'4_Phí sàn'!$A$4:$G$100,7,FALSE),3000))</x:f>
      </x:c>
      <x:c r="X50" s="527" t="str">
        <x:f>IF(OR(A50="",M50="",M50=0),"",CEILING((M50+N50+W50)/((1-V50)*(1-S50-T50-U50)),$D$5))</x:f>
      </x:c>
      <x:c r="Y50" s="527" t="str">
        <x:f>IF(X50="","",X50*(1-V50)*(S50+T50+U50)+W50)</x:f>
      </x:c>
      <x:c r="Z50" s="527" t="str">
        <x:f>IF(X50="","",X50*(1-V50)-Y50-M50)</x:f>
      </x:c>
      <x:c r="AA50" s="557" t="n"/>
      <x:c r="AB50" s="557" t="n"/>
      <x:c r="AC50" s="543" t="str">
        <x:f>IF(A50="","",IFERROR(VLOOKUP("Shopee|"&amp;AA50&amp;"|"&amp;AB50,'4_Phí sàn'!$A$4:$G$100,5,FALSE),0))</x:f>
      </x:c>
      <x:c r="AD50" s="566" t="n"/>
      <x:c r="AE50" s="540" t="str">
        <x:f>IF(A50="","",IF(AD50&gt;0,AD50,AC50))</x:f>
      </x:c>
      <x:c r="AF50" s="540" t="str">
        <x:f>IF(A50="","",IFERROR(VLOOKUP("Shopee|"&amp;AA50&amp;"|"&amp;AB50,'4_Phí sàn'!$A$4:$G$100,6,FALSE),0.06))</x:f>
      </x:c>
      <x:c r="AG50" s="537" t="str">
        <x:f>IF(A50="","",$D$6+$B$7)</x:f>
      </x:c>
      <x:c r="AH50" s="566" t="n">
        <x:f>$B$7</x:f>
        <x:v>0</x:v>
      </x:c>
      <x:c r="AI50" s="567" t="str">
        <x:f>IF(A50="","",IFERROR(VLOOKUP("Shopee|"&amp;AA50&amp;"|"&amp;AB50,'4_Phí sàn'!$A$4:$G$100,7,FALSE),3000))</x:f>
      </x:c>
      <x:c r="AJ50" s="559" t="n"/>
      <x:c r="AK50" s="559" t="n"/>
      <x:c r="AL50" s="527" t="str">
        <x:f>IF(OR(A50="",M50="",M50=0),"",CEILING((M50+N50+AI50+(AJ50-AK50)*AF50)/((1-AH50)*(1-AE50-AF50-AG50)),$D$5))</x:f>
      </x:c>
      <x:c r="AM50" s="527" t="str">
        <x:f>IF(AL50="","",AL50*(1-AH50)*(AE50+AG50)+((AL50*(1-AH50)+AJ50-AK50)*AF50)+AI50)</x:f>
      </x:c>
      <x:c r="AN50" s="527" t="str">
        <x:f>IF(AL50="","",AL50*(1-AH50)-AM50-M50)</x:f>
      </x:c>
      <x:c r="AO50" s="534" t="str">
        <x:f>IF(A50="","",IF(B50="","⚠ NHẬP TÊN",IF(OR(D50="",F50="",F50=0),"⚠ NHẬP KHỐI LƯỢNG/GIÁ NHỰA",IF(OR(Q50=0,AC50=0),"⚠ KIỂM TRA PHÍ","OK"))))</x:f>
      </x:c>
    </x:row>
    <x:row r="51">
      <x:c r="A51" s="557" t="n"/>
      <x:c r="B51" s="557" t="n"/>
      <x:c r="C51" s="557" t="n"/>
      <x:c r="D51" s="558" t="n"/>
      <x:c r="E51" s="566" t="n"/>
      <x:c r="F51" s="542" t="str">
        <x:f>IF(C51="","",IFERROR(VLOOKUP(C51,'3_Nhựa'!$A$4:$B$100,2,FALSE),""))</x:f>
      </x:c>
      <x:c r="G51" s="527" t="str">
        <x:f>IF(OR(A51="",D51="",F51=""),"",D51*F51*(1+E51)/1000)</x:f>
      </x:c>
      <x:c r="H51" s="559" t="n"/>
      <x:c r="I51" s="559" t="n"/>
      <x:c r="J51" s="559" t="n"/>
      <x:c r="K51" s="559" t="n"/>
      <x:c r="L51" s="559" t="n"/>
      <x:c r="M51" s="527" t="str">
        <x:f>IF(A51="","",SUM(G51:L51))</x:f>
      </x:c>
      <x:c r="N51" s="527" t="str">
        <x:f>IF(M51="","",M51*$B$5)</x:f>
      </x:c>
      <x:c r="O51" s="557" t="n"/>
      <x:c r="P51" s="557" t="n"/>
      <x:c r="Q51" s="543" t="str">
        <x:f>IF(A51="","",IFERROR(VLOOKUP("TikTok|"&amp;O51&amp;"|"&amp;P51,'4_Phí sàn'!$A$4:$G$100,5,FALSE),0))</x:f>
      </x:c>
      <x:c r="R51" s="566" t="n"/>
      <x:c r="S51" s="540" t="str">
        <x:f>IF(A51="","",IF(R51&gt;0,R51,Q51))</x:f>
      </x:c>
      <x:c r="T51" s="540" t="str">
        <x:f>IF(A51="","",IFERROR(VLOOKUP("TikTok|"&amp;O51&amp;"|"&amp;P51,'4_Phí sàn'!$A$4:$G$100,6,FALSE),0))</x:f>
      </x:c>
      <x:c r="U51" s="540" t="str">
        <x:f>IF(A51="","",$B$6+$B$7)</x:f>
      </x:c>
      <x:c r="V51" s="566" t="n"/>
      <x:c r="W51" s="527" t="str">
        <x:f>IF(A51="","",IFERROR(VLOOKUP("TikTok|"&amp;O51&amp;"|"&amp;P51,'4_Phí sàn'!$A$4:$G$100,7,FALSE),3000))</x:f>
      </x:c>
      <x:c r="X51" s="527" t="str">
        <x:f>IF(OR(A51="",M51="",M51=0),"",CEILING((M51+N51+W51)/((1-V51)*(1-S51-T51-U51)),$D$5))</x:f>
      </x:c>
      <x:c r="Y51" s="527" t="str">
        <x:f>IF(X51="","",X51*(1-V51)*(S51+T51+U51)+W51)</x:f>
      </x:c>
      <x:c r="Z51" s="527" t="str">
        <x:f>IF(X51="","",X51*(1-V51)-Y51-M51)</x:f>
      </x:c>
      <x:c r="AA51" s="557" t="n"/>
      <x:c r="AB51" s="557" t="n"/>
      <x:c r="AC51" s="543" t="str">
        <x:f>IF(A51="","",IFERROR(VLOOKUP("Shopee|"&amp;AA51&amp;"|"&amp;AB51,'4_Phí sàn'!$A$4:$G$100,5,FALSE),0))</x:f>
      </x:c>
      <x:c r="AD51" s="566" t="n"/>
      <x:c r="AE51" s="540" t="str">
        <x:f>IF(A51="","",IF(AD51&gt;0,AD51,AC51))</x:f>
      </x:c>
      <x:c r="AF51" s="540" t="str">
        <x:f>IF(A51="","",IFERROR(VLOOKUP("Shopee|"&amp;AA51&amp;"|"&amp;AB51,'4_Phí sàn'!$A$4:$G$100,6,FALSE),0.06))</x:f>
      </x:c>
      <x:c r="AG51" s="537" t="str">
        <x:f>IF(A51="","",$D$6+$B$7)</x:f>
      </x:c>
      <x:c r="AH51" s="566" t="n">
        <x:f>$B$7</x:f>
        <x:v>0</x:v>
      </x:c>
      <x:c r="AI51" s="567" t="str">
        <x:f>IF(A51="","",IFERROR(VLOOKUP("Shopee|"&amp;AA51&amp;"|"&amp;AB51,'4_Phí sàn'!$A$4:$G$100,7,FALSE),3000))</x:f>
      </x:c>
      <x:c r="AJ51" s="559" t="n"/>
      <x:c r="AK51" s="559" t="n"/>
      <x:c r="AL51" s="527" t="str">
        <x:f>IF(OR(A51="",M51="",M51=0),"",CEILING((M51+N51+AI51+(AJ51-AK51)*AF51)/((1-AH51)*(1-AE51-AF51-AG51)),$D$5))</x:f>
      </x:c>
      <x:c r="AM51" s="527" t="str">
        <x:f>IF(AL51="","",AL51*(1-AH51)*(AE51+AG51)+((AL51*(1-AH51)+AJ51-AK51)*AF51)+AI51)</x:f>
      </x:c>
      <x:c r="AN51" s="527" t="str">
        <x:f>IF(AL51="","",AL51*(1-AH51)-AM51-M51)</x:f>
      </x:c>
      <x:c r="AO51" s="534" t="str">
        <x:f>IF(A51="","",IF(B51="","⚠ NHẬP TÊN",IF(OR(D51="",F51="",F51=0),"⚠ NHẬP KHỐI LƯỢNG/GIÁ NHỰA",IF(OR(Q51=0,AC51=0),"⚠ KIỂM TRA PHÍ","OK"))))</x:f>
      </x:c>
    </x:row>
  </x:sheetData>
  <x:mergeCells>
    <x:mergeCell ref="A4:H4"/>
    <x:mergeCell ref="J4:O4"/>
    <x:mergeCell ref="A2:AO2"/>
    <x:mergeCell ref="A1:AO1"/>
  </x:mergeCells>
  <x:conditionalFormatting sqref="Z12:Z51">
    <x:cfRule type="expression" dxfId="0" priority="1">
      <x:formula>Z12&lt;N12</x:formula>
    </x:cfRule>
  </x:conditionalFormatting>
  <x:conditionalFormatting sqref="AN12:AN51">
    <x:cfRule type="expression" dxfId="0" priority="2">
      <x:formula>AN12&lt;N12</x:formula>
    </x:cfRule>
  </x:conditionalFormatting>
  <x:conditionalFormatting sqref="AO12:AO51">
    <x:cfRule type="containsText" dxfId="8" priority="3" operator="containsText" text="⚠"/>
    <x:cfRule type="containsText" dxfId="9" priority="4" operator="containsText" text="OK"/>
  </x:conditionalFormatting>
  <x:dataValidations count="5">
    <x:dataValidation type="list" allowBlank="0" showDropDown="0" showInputMessage="0" showErrorMessage="0" sqref="C12:C51">
      <x:formula1>'5_Danh mục'!$E$3:$E$11</x:formula1>
    </x:dataValidation>
    <x:dataValidation type="list" allowBlank="0" showDropDown="0" showInputMessage="0" showErrorMessage="0" sqref="O12:O51">
      <x:formula1>'5_Danh mục'!$C$3:$C$4</x:formula1>
    </x:dataValidation>
    <x:dataValidation type="list" allowBlank="0" showDropDown="0" showInputMessage="0" showErrorMessage="0" sqref="P12:P51">
      <x:formula1>'5_Danh mục'!$G$3:$G$10</x:formula1>
    </x:dataValidation>
    <x:dataValidation type="list" allowBlank="0" showDropDown="0" showInputMessage="0" showErrorMessage="0" sqref="AA12:AA51">
      <x:formula1>'5_Danh mục'!$C$3:$C$4</x:formula1>
    </x:dataValidation>
    <x:dataValidation type="list" allowBlank="0" showDropDown="0" showInputMessage="0" showErrorMessage="0" sqref="AB12:AB51">
      <x:formula1>'5_Danh mục'!$I$3:$I$9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0" style="14" customWidth="1"/>
    <x:col min="2" max="2" width="18" style="14" customWidth="1"/>
    <x:col min="3" max="3" width="16" style="14" customWidth="1"/>
    <x:col min="4" max="4" width="22" style="14" customWidth="1"/>
    <x:col min="5" max="5" width="32" style="14" customWidth="1"/>
  </x:cols>
  <x:sheetData>
    <x:row r="1" s="14" customFormat="1" ht="28" customHeight="1">
      <x:c r="A1" s="523" t="inlineStr">
        <x:is>
          <x:t xml:space="preserve">GIÁ NHỰA / KG — CẬP NHẬT GIÁ MUA THỰC TẾ</x:t>
        </x:is>
      </x:c>
      <x:c r="B1" s="524" t="n"/>
      <x:c r="C1" s="524" t="n"/>
      <x:c r="D1" s="524" t="n"/>
      <x:c r="E1" s="524" t="n"/>
      <x:c r="F1" s="524"/>
      <x:c r="G1" s="524"/>
      <x:c r="H1" s="524"/>
      <x:c r="I1" s="524"/>
      <x:c r="J1" s="524"/>
      <x:c r="K1" s="524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  <x:c r="K2" s="524"/>
    </x:row>
    <x:row r="3" s="14" customFormat="1" ht="30" customHeight="1">
      <x:c r="A3" s="529" t="inlineStr">
        <x:is>
          <x:t xml:space="preserve">Loại nhựa</x:t>
        </x:is>
      </x:c>
      <x:c r="B3" s="529" t="inlineStr">
        <x:is>
          <x:t xml:space="preserve">Giá nhựa (đ/kg)</x:t>
        </x:is>
      </x:c>
      <x:c r="C3" s="529" t="inlineStr">
        <x:is>
          <x:t xml:space="preserve">Ngày cập nhật</x:t>
        </x:is>
      </x:c>
      <x:c r="D3" s="529" t="inlineStr">
        <x:is>
          <x:t xml:space="preserve">Nhà cung cấp</x:t>
        </x:is>
      </x:c>
      <x:c r="E3" s="529" t="inlineStr">
        <x:is>
          <x:t xml:space="preserve">Ghi chú</x:t>
        </x:is>
      </x:c>
      <x:c r="F3" s="524"/>
      <x:c r="G3" s="525" t="inlineStr">
        <x:is>
          <x:t xml:space="preserve">NGUỒN / GHI CHÚ</x:t>
        </x:is>
      </x:c>
      <x:c r="H3" s="524" t="n"/>
      <x:c r="I3" s="524" t="n"/>
      <x:c r="J3" s="524" t="n"/>
      <x:c r="K3" s="524" t="n"/>
    </x:row>
    <x:row r="4">
      <x:c r="A4" s="531" t="inlineStr">
        <x:is>
          <x:t xml:space="preserve">PETG</x:t>
        </x:is>
      </x:c>
      <x:c r="B4" s="533" t="n">
        <x:v>0</x:v>
      </x:c>
      <x:c r="C4" s="530" t="n"/>
      <x:c r="D4" s="531" t="str"/>
      <x:c r="E4" s="531" t="inlineStr">
        <x:is>
          <x:t xml:space="preserve">Nhập giá cuộn đang dùng</x:t>
        </x:is>
      </x:c>
      <x:c r="F4" s="524"/>
      <x:c r="G4" s="544" t="inlineStr">
        <x:is>
          <x:t xml:space="preserve">Giá nhựa</x:t>
        </x:is>
      </x:c>
      <x:c r="H4" s="545" t="inlineStr">
        <x:is>
          <x:t xml:space="preserve">Không có giá thị trường cố định trong nguồn sàn; người dùng nhập theo hóa đơn/cuộn thực tế.</x:t>
        </x:is>
      </x:c>
      <x:c r="I4" s="524" t="n"/>
      <x:c r="J4" s="524" t="n"/>
      <x:c r="K4" s="524" t="n"/>
    </x:row>
    <x:row r="5">
      <x:c r="A5" s="531" t="inlineStr">
        <x:is>
          <x:t xml:space="preserve">PETG-ECO</x:t>
        </x:is>
      </x:c>
      <x:c r="B5" s="533" t="n">
        <x:v>0</x:v>
      </x:c>
      <x:c r="C5" s="530" t="n"/>
      <x:c r="D5" s="531" t="str"/>
      <x:c r="E5" s="531" t="inlineStr">
        <x:is>
          <x:t xml:space="preserve">Nhập giá cuộn đang dùng</x:t>
        </x:is>
      </x:c>
      <x:c r="F5" s="524"/>
      <x:c r="G5" s="544" t="inlineStr">
        <x:is>
          <x:t xml:space="preserve">Quy ước</x:t>
        </x:is>
      </x:c>
      <x:c r="H5" s="545" t="inlineStr">
        <x:is>
          <x:t xml:space="preserve">Giá/kg = giá mua cuộn / khối lượng cuộn (kg).</x:t>
        </x:is>
      </x:c>
      <x:c r="I5" s="524" t="n"/>
      <x:c r="J5" s="524" t="n"/>
      <x:c r="K5" s="524" t="n"/>
    </x:row>
    <x:row r="6">
      <x:c r="A6" s="531" t="inlineStr">
        <x:is>
          <x:t xml:space="preserve">PETG Technical</x:t>
        </x:is>
      </x:c>
      <x:c r="B6" s="533" t="n">
        <x:v>0</x:v>
      </x:c>
      <x:c r="C6" s="530" t="n"/>
      <x:c r="D6" s="531" t="str"/>
      <x:c r="E6" s="531" t="inlineStr">
        <x:is>
          <x:t xml:space="preserve">Nhập giá cuộn đang dùng</x:t>
        </x:is>
      </x:c>
      <x:c r="F6" s="524"/>
      <x:c r="G6" s="544" t="inlineStr">
        <x:is>
          <x:t xml:space="preserve">Mẹo</x:t>
        </x:is>
      </x:c>
      <x:c r="H6" s="545" t="inlineStr">
        <x:is>
          <x:t xml:space="preserve">Nếu đổi nhà cung cấp/giá mới, cập nhật dòng nhựa và ngày cập nhật.</x:t>
        </x:is>
      </x:c>
      <x:c r="I6" s="524" t="n"/>
      <x:c r="J6" s="524" t="n"/>
      <x:c r="K6" s="524" t="n"/>
    </x:row>
    <x:row r="7">
      <x:c r="A7" s="531" t="inlineStr">
        <x:is>
          <x:t xml:space="preserve">PLA</x:t>
        </x:is>
      </x:c>
      <x:c r="B7" s="533" t="n">
        <x:v>0</x:v>
      </x:c>
      <x:c r="C7" s="530" t="n"/>
      <x:c r="D7" s="531" t="str"/>
      <x:c r="E7" s="531" t="str"/>
      <x:c r="F7" s="524"/>
      <x:c r="G7" s="524" t="str"/>
      <x:c r="H7" s="524"/>
      <x:c r="I7" s="524"/>
      <x:c r="J7" s="524"/>
      <x:c r="K7" s="524" t="str"/>
    </x:row>
    <x:row r="8">
      <x:c r="A8" s="531" t="inlineStr">
        <x:is>
          <x:t xml:space="preserve">PLA+</x:t>
        </x:is>
      </x:c>
      <x:c r="B8" s="533" t="n">
        <x:v>0</x:v>
      </x:c>
      <x:c r="C8" s="530" t="n"/>
      <x:c r="D8" s="531" t="str"/>
      <x:c r="E8" s="531" t="str"/>
      <x:c r="F8" s="524"/>
      <x:c r="G8" s="524" t="str"/>
      <x:c r="H8" s="524" t="str"/>
      <x:c r="I8" s="524" t="str"/>
      <x:c r="J8" s="524" t="str"/>
      <x:c r="K8" s="524" t="str"/>
    </x:row>
    <x:row r="9">
      <x:c r="A9" s="531" t="inlineStr">
        <x:is>
          <x:t xml:space="preserve">ABS</x:t>
        </x:is>
      </x:c>
      <x:c r="B9" s="533" t="n">
        <x:v>0</x:v>
      </x:c>
      <x:c r="C9" s="530" t="n"/>
      <x:c r="D9" s="531" t="str"/>
      <x:c r="E9" s="531" t="str"/>
      <x:c r="F9" s="524"/>
      <x:c r="G9" s="524"/>
      <x:c r="H9" s="524"/>
      <x:c r="I9" s="524"/>
      <x:c r="J9" s="524"/>
      <x:c r="K9" s="524"/>
    </x:row>
    <x:row r="10">
      <x:c r="A10" s="531" t="inlineStr">
        <x:is>
          <x:t xml:space="preserve">ASA</x:t>
        </x:is>
      </x:c>
      <x:c r="B10" s="533" t="n">
        <x:v>0</x:v>
      </x:c>
      <x:c r="C10" s="530" t="n"/>
      <x:c r="D10" s="531" t="str"/>
      <x:c r="E10" s="531" t="str"/>
      <x:c r="F10" s="524"/>
      <x:c r="G10" s="524"/>
      <x:c r="H10" s="524"/>
      <x:c r="I10" s="524"/>
      <x:c r="J10" s="524"/>
      <x:c r="K10" s="524"/>
    </x:row>
    <x:row r="11">
      <x:c r="A11" s="531" t="inlineStr">
        <x:is>
          <x:t xml:space="preserve">TPU</x:t>
        </x:is>
      </x:c>
      <x:c r="B11" s="533" t="n">
        <x:v>0</x:v>
      </x:c>
      <x:c r="C11" s="530" t="n"/>
      <x:c r="D11" s="531" t="str"/>
      <x:c r="E11" s="531" t="str"/>
      <x:c r="F11" s="524"/>
      <x:c r="G11" s="524"/>
      <x:c r="H11" s="524"/>
      <x:c r="I11" s="524"/>
      <x:c r="J11" s="524"/>
      <x:c r="K11" s="524"/>
    </x:row>
    <x:row r="12">
      <x:c r="A12" s="531" t="inlineStr">
        <x:is>
          <x:t xml:space="preserve">Khác</x:t>
        </x:is>
      </x:c>
      <x:c r="B12" s="533" t="n">
        <x:v>0</x:v>
      </x:c>
      <x:c r="C12" s="530" t="n"/>
      <x:c r="D12" s="531" t="str"/>
      <x:c r="E12" s="531" t="inlineStr">
        <x:is>
          <x:t xml:space="preserve">Có thể thêm vật liệu mới ở các dòng dưới</x:t>
        </x:is>
      </x:c>
      <x:c r="F12" s="524"/>
      <x:c r="G12" s="524"/>
      <x:c r="H12" s="524"/>
      <x:c r="I12" s="524"/>
      <x:c r="J12" s="524"/>
      <x:c r="K12" s="524"/>
    </x:row>
    <x:row r="13">
      <x:c r="A13" s="531" t="n"/>
      <x:c r="B13" s="531" t="n"/>
      <x:c r="C13" s="531" t="n"/>
      <x:c r="D13" s="531" t="n"/>
      <x:c r="E13" s="531" t="n"/>
      <x:c r="F13" s="524"/>
      <x:c r="G13" s="524"/>
      <x:c r="H13" s="524"/>
      <x:c r="I13" s="524"/>
      <x:c r="J13" s="524"/>
      <x:c r="K13" s="524"/>
    </x:row>
    <x:row r="14">
      <x:c r="A14" s="531" t="n"/>
      <x:c r="B14" s="531" t="n"/>
      <x:c r="C14" s="531" t="n"/>
      <x:c r="D14" s="531" t="n"/>
      <x:c r="E14" s="531" t="n"/>
      <x:c r="F14" s="524"/>
      <x:c r="G14" s="524"/>
      <x:c r="H14" s="524"/>
      <x:c r="I14" s="524"/>
      <x:c r="J14" s="524"/>
      <x:c r="K14" s="524"/>
    </x:row>
    <x:row r="15">
      <x:c r="A15" s="531" t="n"/>
      <x:c r="B15" s="531" t="n"/>
      <x:c r="C15" s="531" t="n"/>
      <x:c r="D15" s="531" t="n"/>
      <x:c r="E15" s="531" t="n"/>
      <x:c r="F15" s="524"/>
      <x:c r="G15" s="524"/>
      <x:c r="H15" s="524"/>
      <x:c r="I15" s="524"/>
      <x:c r="J15" s="524"/>
      <x:c r="K15" s="524"/>
    </x:row>
    <x:row r="16">
      <x:c r="A16" s="531" t="n"/>
      <x:c r="B16" s="531" t="n"/>
      <x:c r="C16" s="531" t="n"/>
      <x:c r="D16" s="531" t="n"/>
      <x:c r="E16" s="531" t="n"/>
      <x:c r="F16" s="524"/>
      <x:c r="G16" s="524"/>
      <x:c r="H16" s="524"/>
      <x:c r="I16" s="524"/>
      <x:c r="J16" s="524"/>
      <x:c r="K16" s="524"/>
    </x:row>
    <x:row r="17">
      <x:c r="A17" s="531" t="n"/>
      <x:c r="B17" s="531" t="n"/>
      <x:c r="C17" s="531" t="n"/>
      <x:c r="D17" s="531" t="n"/>
      <x:c r="E17" s="531" t="n"/>
      <x:c r="F17" s="524"/>
      <x:c r="G17" s="524"/>
      <x:c r="H17" s="524"/>
      <x:c r="I17" s="524"/>
      <x:c r="J17" s="524"/>
      <x:c r="K17" s="524"/>
    </x:row>
    <x:row r="18">
      <x:c r="A18" s="531" t="n"/>
      <x:c r="B18" s="531" t="n"/>
      <x:c r="C18" s="531" t="n"/>
      <x:c r="D18" s="531" t="n"/>
      <x:c r="E18" s="531" t="n"/>
      <x:c r="F18" s="524"/>
      <x:c r="G18" s="524"/>
      <x:c r="H18" s="524"/>
      <x:c r="I18" s="524"/>
      <x:c r="J18" s="524"/>
      <x:c r="K18" s="524"/>
    </x:row>
    <x:row r="19">
      <x:c r="A19" s="531" t="n"/>
      <x:c r="B19" s="531" t="n"/>
      <x:c r="C19" s="531" t="n"/>
      <x:c r="D19" s="531" t="n"/>
      <x:c r="E19" s="531" t="n"/>
      <x:c r="F19" s="524"/>
      <x:c r="G19" s="524"/>
      <x:c r="H19" s="524"/>
      <x:c r="I19" s="524"/>
      <x:c r="J19" s="524"/>
      <x:c r="K19" s="524"/>
    </x:row>
    <x:row r="20">
      <x:c r="A20" s="531" t="n"/>
      <x:c r="B20" s="531" t="n"/>
      <x:c r="C20" s="531" t="n"/>
      <x:c r="D20" s="531" t="n"/>
      <x:c r="E20" s="531" t="n"/>
      <x:c r="F20" s="524"/>
      <x:c r="G20" s="524"/>
      <x:c r="H20" s="524"/>
      <x:c r="I20" s="524"/>
      <x:c r="J20" s="524"/>
      <x:c r="K20" s="524"/>
    </x:row>
    <x:row r="21">
      <x:c r="A21" s="531" t="n"/>
      <x:c r="B21" s="531" t="n"/>
      <x:c r="C21" s="531" t="n"/>
      <x:c r="D21" s="531" t="n"/>
      <x:c r="E21" s="531" t="n"/>
      <x:c r="F21" s="524"/>
      <x:c r="G21" s="524"/>
      <x:c r="H21" s="524"/>
      <x:c r="I21" s="524"/>
      <x:c r="J21" s="524"/>
      <x:c r="K21" s="524"/>
    </x:row>
    <x:row r="22">
      <x:c r="A22" s="531" t="n"/>
      <x:c r="B22" s="531" t="n"/>
      <x:c r="C22" s="531" t="n"/>
      <x:c r="D22" s="531" t="n"/>
      <x:c r="E22" s="531" t="n"/>
      <x:c r="F22" s="524"/>
      <x:c r="G22" s="524"/>
      <x:c r="H22" s="524"/>
      <x:c r="I22" s="524"/>
      <x:c r="J22" s="524"/>
      <x:c r="K22" s="524"/>
    </x:row>
    <x:row r="23">
      <x:c r="A23" s="531" t="n"/>
      <x:c r="B23" s="531" t="n"/>
      <x:c r="C23" s="531" t="n"/>
      <x:c r="D23" s="531" t="n"/>
      <x:c r="E23" s="531" t="n"/>
      <x:c r="F23" s="524"/>
      <x:c r="G23" s="524"/>
      <x:c r="H23" s="524"/>
      <x:c r="I23" s="524"/>
      <x:c r="J23" s="524"/>
      <x:c r="K23" s="524"/>
    </x:row>
    <x:row r="24">
      <x:c r="A24" s="531" t="n"/>
      <x:c r="B24" s="531" t="n"/>
      <x:c r="C24" s="531" t="n"/>
      <x:c r="D24" s="531" t="n"/>
      <x:c r="E24" s="531" t="n"/>
      <x:c r="F24" s="524"/>
      <x:c r="G24" s="524"/>
      <x:c r="H24" s="524"/>
      <x:c r="I24" s="524"/>
      <x:c r="J24" s="524"/>
      <x:c r="K24" s="524"/>
    </x:row>
    <x:row r="25">
      <x:c r="A25" s="531" t="n"/>
      <x:c r="B25" s="531" t="n"/>
      <x:c r="C25" s="531" t="n"/>
      <x:c r="D25" s="531" t="n"/>
      <x:c r="E25" s="531" t="n"/>
      <x:c r="F25" s="524"/>
      <x:c r="G25" s="524"/>
      <x:c r="H25" s="524"/>
      <x:c r="I25" s="524"/>
      <x:c r="J25" s="524"/>
      <x:c r="K25" s="524"/>
    </x:row>
    <x:row r="26">
      <x:c r="A26" s="531" t="n"/>
      <x:c r="B26" s="531" t="n"/>
      <x:c r="C26" s="531" t="n"/>
      <x:c r="D26" s="531" t="n"/>
      <x:c r="E26" s="531" t="n"/>
      <x:c r="F26" s="524"/>
      <x:c r="G26" s="524"/>
      <x:c r="H26" s="524"/>
      <x:c r="I26" s="524"/>
      <x:c r="J26" s="524"/>
      <x:c r="K26" s="524"/>
    </x:row>
    <x:row r="27">
      <x:c r="A27" s="531" t="n"/>
      <x:c r="B27" s="531" t="n"/>
      <x:c r="C27" s="531" t="n"/>
      <x:c r="D27" s="531" t="n"/>
      <x:c r="E27" s="531" t="n"/>
      <x:c r="F27" s="524"/>
      <x:c r="G27" s="524"/>
      <x:c r="H27" s="524"/>
      <x:c r="I27" s="524"/>
      <x:c r="J27" s="524"/>
      <x:c r="K27" s="524"/>
    </x:row>
    <x:row r="28">
      <x:c r="A28" s="531" t="n"/>
      <x:c r="B28" s="531" t="n"/>
      <x:c r="C28" s="531" t="n"/>
      <x:c r="D28" s="531" t="n"/>
      <x:c r="E28" s="531" t="n"/>
      <x:c r="F28" s="524"/>
      <x:c r="G28" s="524"/>
      <x:c r="H28" s="524"/>
      <x:c r="I28" s="524"/>
      <x:c r="J28" s="524"/>
      <x:c r="K28" s="524"/>
    </x:row>
    <x:row r="29">
      <x:c r="A29" s="531" t="n"/>
      <x:c r="B29" s="531" t="n"/>
      <x:c r="C29" s="531" t="n"/>
      <x:c r="D29" s="531" t="n"/>
      <x:c r="E29" s="531" t="n"/>
      <x:c r="F29" s="524"/>
      <x:c r="G29" s="524"/>
      <x:c r="H29" s="524"/>
      <x:c r="I29" s="524"/>
      <x:c r="J29" s="524"/>
      <x:c r="K29" s="524"/>
    </x:row>
    <x:row r="30">
      <x:c r="A30" s="531" t="n"/>
      <x:c r="B30" s="531" t="n"/>
      <x:c r="C30" s="531" t="n"/>
      <x:c r="D30" s="531" t="n"/>
      <x:c r="E30" s="531" t="n"/>
      <x:c r="F30" s="524"/>
      <x:c r="G30" s="524"/>
      <x:c r="H30" s="524"/>
      <x:c r="I30" s="524"/>
      <x:c r="J30" s="524"/>
      <x:c r="K30" s="524"/>
    </x:row>
    <x:row r="31">
      <x:c r="A31" s="531" t="n"/>
      <x:c r="B31" s="531" t="n"/>
      <x:c r="C31" s="531" t="n"/>
      <x:c r="D31" s="531" t="n"/>
      <x:c r="E31" s="531" t="n"/>
      <x:c r="F31" s="524"/>
      <x:c r="G31" s="524"/>
      <x:c r="H31" s="524"/>
      <x:c r="I31" s="524"/>
      <x:c r="J31" s="524"/>
      <x:c r="K31" s="524"/>
    </x:row>
    <x:row r="32">
      <x:c r="A32" s="531" t="n"/>
      <x:c r="B32" s="531" t="n"/>
      <x:c r="C32" s="531" t="n"/>
      <x:c r="D32" s="531" t="n"/>
      <x:c r="E32" s="531" t="n"/>
      <x:c r="F32" s="524"/>
      <x:c r="G32" s="524"/>
      <x:c r="H32" s="524"/>
      <x:c r="I32" s="524"/>
      <x:c r="J32" s="524"/>
      <x:c r="K32" s="524"/>
    </x:row>
    <x:row r="33">
      <x:c r="A33" s="531" t="n"/>
      <x:c r="B33" s="531" t="n"/>
      <x:c r="C33" s="531" t="n"/>
      <x:c r="D33" s="531" t="n"/>
      <x:c r="E33" s="531" t="n"/>
      <x:c r="F33" s="524"/>
      <x:c r="G33" s="524"/>
      <x:c r="H33" s="524"/>
      <x:c r="I33" s="524"/>
      <x:c r="J33" s="524"/>
      <x:c r="K33" s="524"/>
    </x:row>
    <x:row r="34">
      <x:c r="A34" s="531" t="n"/>
      <x:c r="B34" s="531" t="n"/>
      <x:c r="C34" s="531" t="n"/>
      <x:c r="D34" s="531" t="n"/>
      <x:c r="E34" s="531" t="n"/>
      <x:c r="F34" s="524"/>
      <x:c r="G34" s="524"/>
      <x:c r="H34" s="524"/>
      <x:c r="I34" s="524"/>
      <x:c r="J34" s="524"/>
      <x:c r="K34" s="524"/>
    </x:row>
    <x:row r="35">
      <x:c r="A35" s="531" t="n"/>
      <x:c r="B35" s="531" t="n"/>
      <x:c r="C35" s="531" t="n"/>
      <x:c r="D35" s="531" t="n"/>
      <x:c r="E35" s="531" t="n"/>
      <x:c r="F35" s="524"/>
      <x:c r="G35" s="524"/>
      <x:c r="H35" s="524"/>
      <x:c r="I35" s="524"/>
      <x:c r="J35" s="524"/>
      <x:c r="K35" s="524"/>
    </x:row>
    <x:row r="36">
      <x:c r="A36" s="531" t="n"/>
      <x:c r="B36" s="531" t="n"/>
      <x:c r="C36" s="531" t="n"/>
      <x:c r="D36" s="531" t="n"/>
      <x:c r="E36" s="531" t="n"/>
      <x:c r="F36" s="524"/>
      <x:c r="G36" s="524"/>
      <x:c r="H36" s="524"/>
      <x:c r="I36" s="524"/>
      <x:c r="J36" s="524"/>
      <x:c r="K36" s="524"/>
    </x:row>
    <x:row r="37">
      <x:c r="A37" s="531" t="n"/>
      <x:c r="B37" s="531" t="n"/>
      <x:c r="C37" s="531" t="n"/>
      <x:c r="D37" s="531" t="n"/>
      <x:c r="E37" s="531" t="n"/>
      <x:c r="F37" s="524"/>
      <x:c r="G37" s="524"/>
      <x:c r="H37" s="524"/>
      <x:c r="I37" s="524"/>
      <x:c r="J37" s="524"/>
      <x:c r="K37" s="524"/>
    </x:row>
    <x:row r="38">
      <x:c r="A38" s="531" t="n"/>
      <x:c r="B38" s="531" t="n"/>
      <x:c r="C38" s="531" t="n"/>
      <x:c r="D38" s="531" t="n"/>
      <x:c r="E38" s="531" t="n"/>
      <x:c r="F38" s="524"/>
      <x:c r="G38" s="524"/>
      <x:c r="H38" s="524"/>
      <x:c r="I38" s="524"/>
      <x:c r="J38" s="524"/>
      <x:c r="K38" s="524"/>
    </x:row>
    <x:row r="39">
      <x:c r="A39" s="531" t="n"/>
      <x:c r="B39" s="531" t="n"/>
      <x:c r="C39" s="531" t="n"/>
      <x:c r="D39" s="531" t="n"/>
      <x:c r="E39" s="531" t="n"/>
      <x:c r="F39" s="524"/>
      <x:c r="G39" s="524"/>
      <x:c r="H39" s="524"/>
      <x:c r="I39" s="524"/>
      <x:c r="J39" s="524"/>
      <x:c r="K39" s="524"/>
    </x:row>
    <x:row r="40">
      <x:c r="A40" s="531" t="n"/>
      <x:c r="B40" s="531" t="n"/>
      <x:c r="C40" s="531" t="n"/>
      <x:c r="D40" s="531" t="n"/>
      <x:c r="E40" s="531" t="n"/>
      <x:c r="F40" s="524"/>
      <x:c r="G40" s="524"/>
      <x:c r="H40" s="524"/>
      <x:c r="I40" s="524"/>
      <x:c r="J40" s="524"/>
      <x:c r="K40" s="524"/>
    </x:row>
    <x:row r="41">
      <x:c r="A41" s="531" t="n"/>
      <x:c r="B41" s="531" t="n"/>
      <x:c r="C41" s="531" t="n"/>
      <x:c r="D41" s="531" t="n"/>
      <x:c r="E41" s="531" t="n"/>
      <x:c r="F41" s="524"/>
      <x:c r="G41" s="524"/>
      <x:c r="H41" s="524"/>
      <x:c r="I41" s="524"/>
      <x:c r="J41" s="524"/>
      <x:c r="K41" s="524"/>
    </x:row>
    <x:row r="42">
      <x:c r="A42" s="531" t="n"/>
      <x:c r="B42" s="531" t="n"/>
      <x:c r="C42" s="531" t="n"/>
      <x:c r="D42" s="531" t="n"/>
      <x:c r="E42" s="531" t="n"/>
      <x:c r="F42" s="524"/>
      <x:c r="G42" s="524"/>
      <x:c r="H42" s="524"/>
      <x:c r="I42" s="524"/>
      <x:c r="J42" s="524"/>
      <x:c r="K42" s="524"/>
    </x:row>
    <x:row r="43">
      <x:c r="A43" s="531" t="n"/>
      <x:c r="B43" s="531" t="n"/>
      <x:c r="C43" s="531" t="n"/>
      <x:c r="D43" s="531" t="n"/>
      <x:c r="E43" s="531" t="n"/>
      <x:c r="F43" s="524"/>
      <x:c r="G43" s="524"/>
      <x:c r="H43" s="524"/>
      <x:c r="I43" s="524"/>
      <x:c r="J43" s="524"/>
      <x:c r="K43" s="524"/>
    </x:row>
    <x:row r="44">
      <x:c r="A44" s="531" t="n"/>
      <x:c r="B44" s="531" t="n"/>
      <x:c r="C44" s="531" t="n"/>
      <x:c r="D44" s="531" t="n"/>
      <x:c r="E44" s="531" t="n"/>
      <x:c r="F44" s="524"/>
      <x:c r="G44" s="524"/>
      <x:c r="H44" s="524"/>
      <x:c r="I44" s="524"/>
      <x:c r="J44" s="524"/>
      <x:c r="K44" s="524"/>
    </x:row>
    <x:row r="45">
      <x:c r="A45" s="531" t="n"/>
      <x:c r="B45" s="531" t="n"/>
      <x:c r="C45" s="531" t="n"/>
      <x:c r="D45" s="531" t="n"/>
      <x:c r="E45" s="531" t="n"/>
      <x:c r="F45" s="524"/>
      <x:c r="G45" s="524"/>
      <x:c r="H45" s="524"/>
      <x:c r="I45" s="524"/>
      <x:c r="J45" s="524"/>
      <x:c r="K45" s="524"/>
    </x:row>
    <x:row r="46">
      <x:c r="A46" s="531" t="n"/>
      <x:c r="B46" s="531" t="n"/>
      <x:c r="C46" s="531" t="n"/>
      <x:c r="D46" s="531" t="n"/>
      <x:c r="E46" s="531" t="n"/>
      <x:c r="F46" s="524"/>
      <x:c r="G46" s="524"/>
      <x:c r="H46" s="524"/>
      <x:c r="I46" s="524"/>
      <x:c r="J46" s="524"/>
      <x:c r="K46" s="524"/>
    </x:row>
    <x:row r="47">
      <x:c r="A47" s="531" t="n"/>
      <x:c r="B47" s="531" t="n"/>
      <x:c r="C47" s="531" t="n"/>
      <x:c r="D47" s="531" t="n"/>
      <x:c r="E47" s="531" t="n"/>
      <x:c r="F47" s="524"/>
      <x:c r="G47" s="524"/>
      <x:c r="H47" s="524"/>
      <x:c r="I47" s="524"/>
      <x:c r="J47" s="524"/>
      <x:c r="K47" s="524"/>
    </x:row>
    <x:row r="48">
      <x:c r="A48" s="531" t="n"/>
      <x:c r="B48" s="531" t="n"/>
      <x:c r="C48" s="531" t="n"/>
      <x:c r="D48" s="531" t="n"/>
      <x:c r="E48" s="531" t="n"/>
      <x:c r="F48" s="524"/>
      <x:c r="G48" s="524"/>
      <x:c r="H48" s="524"/>
      <x:c r="I48" s="524"/>
      <x:c r="J48" s="524"/>
      <x:c r="K48" s="524"/>
    </x:row>
    <x:row r="49">
      <x:c r="A49" s="531" t="n"/>
      <x:c r="B49" s="531" t="n"/>
      <x:c r="C49" s="531" t="n"/>
      <x:c r="D49" s="531" t="n"/>
      <x:c r="E49" s="531" t="n"/>
      <x:c r="F49" s="524"/>
      <x:c r="G49" s="524"/>
      <x:c r="H49" s="524"/>
      <x:c r="I49" s="524"/>
      <x:c r="J49" s="524"/>
      <x:c r="K49" s="524"/>
    </x:row>
    <x:row r="50">
      <x:c r="A50" s="531" t="n"/>
      <x:c r="B50" s="531" t="n"/>
      <x:c r="C50" s="531" t="n"/>
      <x:c r="D50" s="531" t="n"/>
      <x:c r="E50" s="531" t="n"/>
      <x:c r="F50" s="524"/>
      <x:c r="G50" s="524"/>
      <x:c r="H50" s="524"/>
      <x:c r="I50" s="524"/>
      <x:c r="J50" s="524"/>
      <x:c r="K50" s="524"/>
    </x:row>
    <x:row r="51">
      <x:c r="A51" s="531" t="n"/>
      <x:c r="B51" s="531" t="n"/>
      <x:c r="C51" s="531" t="n"/>
      <x:c r="D51" s="531" t="n"/>
      <x:c r="E51" s="531" t="n"/>
      <x:c r="F51" s="524"/>
      <x:c r="G51" s="524"/>
      <x:c r="H51" s="524"/>
      <x:c r="I51" s="524"/>
      <x:c r="J51" s="524"/>
      <x:c r="K51" s="524"/>
    </x:row>
    <x:row r="52">
      <x:c r="A52" s="531" t="n"/>
      <x:c r="B52" s="531" t="n"/>
      <x:c r="C52" s="531" t="n"/>
      <x:c r="D52" s="531" t="n"/>
      <x:c r="E52" s="531" t="n"/>
      <x:c r="F52" s="524"/>
      <x:c r="G52" s="524"/>
      <x:c r="H52" s="524"/>
      <x:c r="I52" s="524"/>
      <x:c r="J52" s="524"/>
      <x:c r="K52" s="524"/>
    </x:row>
    <x:row r="53">
      <x:c r="A53" s="531" t="n"/>
      <x:c r="B53" s="531" t="n"/>
      <x:c r="C53" s="531" t="n"/>
      <x:c r="D53" s="531" t="n"/>
      <x:c r="E53" s="531" t="n"/>
      <x:c r="F53" s="524"/>
      <x:c r="G53" s="524"/>
      <x:c r="H53" s="524"/>
      <x:c r="I53" s="524"/>
      <x:c r="J53" s="524"/>
      <x:c r="K53" s="524"/>
    </x:row>
    <x:row r="54">
      <x:c r="A54" s="531" t="n"/>
      <x:c r="B54" s="531" t="n"/>
      <x:c r="C54" s="531" t="n"/>
      <x:c r="D54" s="531" t="n"/>
      <x:c r="E54" s="531" t="n"/>
      <x:c r="F54" s="524"/>
      <x:c r="G54" s="524"/>
      <x:c r="H54" s="524"/>
      <x:c r="I54" s="524"/>
      <x:c r="J54" s="524"/>
      <x:c r="K54" s="524"/>
    </x:row>
    <x:row r="55">
      <x:c r="A55" s="531" t="n"/>
      <x:c r="B55" s="531" t="n"/>
      <x:c r="C55" s="531" t="n"/>
      <x:c r="D55" s="531" t="n"/>
      <x:c r="E55" s="531" t="n"/>
      <x:c r="F55" s="524"/>
      <x:c r="G55" s="524"/>
      <x:c r="H55" s="524"/>
      <x:c r="I55" s="524"/>
      <x:c r="J55" s="524"/>
      <x:c r="K55" s="524"/>
    </x:row>
    <x:row r="56">
      <x:c r="A56" s="531" t="n"/>
      <x:c r="B56" s="531" t="n"/>
      <x:c r="C56" s="531" t="n"/>
      <x:c r="D56" s="531" t="n"/>
      <x:c r="E56" s="531" t="n"/>
      <x:c r="F56" s="524"/>
      <x:c r="G56" s="524"/>
      <x:c r="H56" s="524"/>
      <x:c r="I56" s="524"/>
      <x:c r="J56" s="524"/>
      <x:c r="K56" s="524"/>
    </x:row>
    <x:row r="57">
      <x:c r="A57" s="531" t="n"/>
      <x:c r="B57" s="531" t="n"/>
      <x:c r="C57" s="531" t="n"/>
      <x:c r="D57" s="531" t="n"/>
      <x:c r="E57" s="531" t="n"/>
      <x:c r="F57" s="524"/>
      <x:c r="G57" s="524"/>
      <x:c r="H57" s="524"/>
      <x:c r="I57" s="524"/>
      <x:c r="J57" s="524"/>
      <x:c r="K57" s="524"/>
    </x:row>
    <x:row r="58">
      <x:c r="A58" s="531" t="n"/>
      <x:c r="B58" s="531" t="n"/>
      <x:c r="C58" s="531" t="n"/>
      <x:c r="D58" s="531" t="n"/>
      <x:c r="E58" s="531" t="n"/>
      <x:c r="F58" s="524"/>
      <x:c r="G58" s="524"/>
      <x:c r="H58" s="524"/>
      <x:c r="I58" s="524"/>
      <x:c r="J58" s="524"/>
      <x:c r="K58" s="524"/>
    </x:row>
    <x:row r="59">
      <x:c r="A59" s="531" t="n"/>
      <x:c r="B59" s="531" t="n"/>
      <x:c r="C59" s="531" t="n"/>
      <x:c r="D59" s="531" t="n"/>
      <x:c r="E59" s="531" t="n"/>
      <x:c r="F59" s="524"/>
      <x:c r="G59" s="524"/>
      <x:c r="H59" s="524"/>
      <x:c r="I59" s="524"/>
      <x:c r="J59" s="524"/>
      <x:c r="K59" s="524"/>
    </x:row>
    <x:row r="60">
      <x:c r="A60" s="531" t="n"/>
      <x:c r="B60" s="531" t="n"/>
      <x:c r="C60" s="531" t="n"/>
      <x:c r="D60" s="531" t="n"/>
      <x:c r="E60" s="531" t="n"/>
      <x:c r="F60" s="524"/>
      <x:c r="G60" s="524"/>
      <x:c r="H60" s="524"/>
      <x:c r="I60" s="524"/>
      <x:c r="J60" s="524"/>
      <x:c r="K60" s="524"/>
    </x:row>
    <x:row r="61">
      <x:c r="A61" s="531" t="n"/>
      <x:c r="B61" s="531" t="n"/>
      <x:c r="C61" s="531" t="n"/>
      <x:c r="D61" s="531" t="n"/>
      <x:c r="E61" s="531" t="n"/>
      <x:c r="F61" s="524"/>
      <x:c r="G61" s="524"/>
      <x:c r="H61" s="524"/>
      <x:c r="I61" s="524"/>
      <x:c r="J61" s="524"/>
      <x:c r="K61" s="524"/>
    </x:row>
    <x:row r="62">
      <x:c r="A62" s="531" t="n"/>
      <x:c r="B62" s="531" t="n"/>
      <x:c r="C62" s="531" t="n"/>
      <x:c r="D62" s="531" t="n"/>
      <x:c r="E62" s="531" t="n"/>
      <x:c r="F62" s="524"/>
      <x:c r="G62" s="524"/>
      <x:c r="H62" s="524"/>
      <x:c r="I62" s="524"/>
      <x:c r="J62" s="524"/>
      <x:c r="K62" s="524"/>
    </x:row>
    <x:row r="63">
      <x:c r="A63" s="531" t="n"/>
      <x:c r="B63" s="531" t="n"/>
      <x:c r="C63" s="531" t="n"/>
      <x:c r="D63" s="531" t="n"/>
      <x:c r="E63" s="531" t="n"/>
      <x:c r="F63" s="524"/>
      <x:c r="G63" s="524"/>
      <x:c r="H63" s="524"/>
      <x:c r="I63" s="524"/>
      <x:c r="J63" s="524"/>
      <x:c r="K63" s="524"/>
    </x:row>
    <x:row r="64">
      <x:c r="A64" s="531" t="n"/>
      <x:c r="B64" s="531" t="n"/>
      <x:c r="C64" s="531" t="n"/>
      <x:c r="D64" s="531" t="n"/>
      <x:c r="E64" s="531" t="n"/>
      <x:c r="F64" s="524"/>
      <x:c r="G64" s="524"/>
      <x:c r="H64" s="524"/>
      <x:c r="I64" s="524"/>
      <x:c r="J64" s="524"/>
      <x:c r="K64" s="524"/>
    </x:row>
    <x:row r="65">
      <x:c r="A65" s="531" t="n"/>
      <x:c r="B65" s="531" t="n"/>
      <x:c r="C65" s="531" t="n"/>
      <x:c r="D65" s="531" t="n"/>
      <x:c r="E65" s="531" t="n"/>
      <x:c r="F65" s="524"/>
      <x:c r="G65" s="524"/>
      <x:c r="H65" s="524"/>
      <x:c r="I65" s="524"/>
      <x:c r="J65" s="524"/>
      <x:c r="K65" s="524"/>
    </x:row>
    <x:row r="66">
      <x:c r="A66" s="531" t="n"/>
      <x:c r="B66" s="531" t="n"/>
      <x:c r="C66" s="531" t="n"/>
      <x:c r="D66" s="531" t="n"/>
      <x:c r="E66" s="531" t="n"/>
      <x:c r="F66" s="524"/>
      <x:c r="G66" s="524"/>
      <x:c r="H66" s="524"/>
      <x:c r="I66" s="524"/>
      <x:c r="J66" s="524"/>
      <x:c r="K66" s="524"/>
    </x:row>
    <x:row r="67">
      <x:c r="A67" s="531" t="n"/>
      <x:c r="B67" s="531" t="n"/>
      <x:c r="C67" s="531" t="n"/>
      <x:c r="D67" s="531" t="n"/>
      <x:c r="E67" s="531" t="n"/>
      <x:c r="F67" s="524"/>
      <x:c r="G67" s="524"/>
      <x:c r="H67" s="524"/>
      <x:c r="I67" s="524"/>
      <x:c r="J67" s="524"/>
      <x:c r="K67" s="524"/>
    </x:row>
    <x:row r="68">
      <x:c r="A68" s="531" t="n"/>
      <x:c r="B68" s="531" t="n"/>
      <x:c r="C68" s="531" t="n"/>
      <x:c r="D68" s="531" t="n"/>
      <x:c r="E68" s="531" t="n"/>
      <x:c r="F68" s="524"/>
      <x:c r="G68" s="524"/>
      <x:c r="H68" s="524"/>
      <x:c r="I68" s="524"/>
      <x:c r="J68" s="524"/>
      <x:c r="K68" s="524"/>
    </x:row>
    <x:row r="69">
      <x:c r="A69" s="531" t="n"/>
      <x:c r="B69" s="531" t="n"/>
      <x:c r="C69" s="531" t="n"/>
      <x:c r="D69" s="531" t="n"/>
      <x:c r="E69" s="531" t="n"/>
      <x:c r="F69" s="524"/>
      <x:c r="G69" s="524"/>
      <x:c r="H69" s="524"/>
      <x:c r="I69" s="524"/>
      <x:c r="J69" s="524"/>
      <x:c r="K69" s="524"/>
    </x:row>
    <x:row r="70">
      <x:c r="A70" s="531" t="n"/>
      <x:c r="B70" s="531" t="n"/>
      <x:c r="C70" s="531" t="n"/>
      <x:c r="D70" s="531" t="n"/>
      <x:c r="E70" s="531" t="n"/>
      <x:c r="F70" s="524"/>
      <x:c r="G70" s="524"/>
      <x:c r="H70" s="524"/>
      <x:c r="I70" s="524"/>
      <x:c r="J70" s="524"/>
      <x:c r="K70" s="524"/>
    </x:row>
    <x:row r="71">
      <x:c r="A71" s="531" t="n"/>
      <x:c r="B71" s="531" t="n"/>
      <x:c r="C71" s="531" t="n"/>
      <x:c r="D71" s="531" t="n"/>
      <x:c r="E71" s="531" t="n"/>
      <x:c r="F71" s="524"/>
      <x:c r="G71" s="524"/>
      <x:c r="H71" s="524"/>
      <x:c r="I71" s="524"/>
      <x:c r="J71" s="524"/>
      <x:c r="K71" s="524"/>
    </x:row>
    <x:row r="72">
      <x:c r="A72" s="531" t="n"/>
      <x:c r="B72" s="531" t="n"/>
      <x:c r="C72" s="531" t="n"/>
      <x:c r="D72" s="531" t="n"/>
      <x:c r="E72" s="531" t="n"/>
      <x:c r="F72" s="524"/>
      <x:c r="G72" s="524"/>
      <x:c r="H72" s="524"/>
      <x:c r="I72" s="524"/>
      <x:c r="J72" s="524"/>
      <x:c r="K72" s="524"/>
    </x:row>
    <x:row r="73">
      <x:c r="A73" s="531" t="n"/>
      <x:c r="B73" s="531" t="n"/>
      <x:c r="C73" s="531" t="n"/>
      <x:c r="D73" s="531" t="n"/>
      <x:c r="E73" s="531" t="n"/>
      <x:c r="F73" s="524"/>
      <x:c r="G73" s="524"/>
      <x:c r="H73" s="524"/>
      <x:c r="I73" s="524"/>
      <x:c r="J73" s="524"/>
      <x:c r="K73" s="524"/>
    </x:row>
    <x:row r="74">
      <x:c r="A74" s="531" t="n"/>
      <x:c r="B74" s="531" t="n"/>
      <x:c r="C74" s="531" t="n"/>
      <x:c r="D74" s="531" t="n"/>
      <x:c r="E74" s="531" t="n"/>
      <x:c r="F74" s="524"/>
      <x:c r="G74" s="524"/>
      <x:c r="H74" s="524"/>
      <x:c r="I74" s="524"/>
      <x:c r="J74" s="524"/>
      <x:c r="K74" s="524"/>
    </x:row>
    <x:row r="75">
      <x:c r="A75" s="531" t="n"/>
      <x:c r="B75" s="531" t="n"/>
      <x:c r="C75" s="531" t="n"/>
      <x:c r="D75" s="531" t="n"/>
      <x:c r="E75" s="531" t="n"/>
      <x:c r="F75" s="524"/>
      <x:c r="G75" s="524"/>
      <x:c r="H75" s="524"/>
      <x:c r="I75" s="524"/>
      <x:c r="J75" s="524"/>
      <x:c r="K75" s="524"/>
    </x:row>
    <x:row r="76">
      <x:c r="A76" s="531" t="n"/>
      <x:c r="B76" s="531" t="n"/>
      <x:c r="C76" s="531" t="n"/>
      <x:c r="D76" s="531" t="n"/>
      <x:c r="E76" s="531" t="n"/>
      <x:c r="F76" s="524"/>
      <x:c r="G76" s="524"/>
      <x:c r="H76" s="524"/>
      <x:c r="I76" s="524"/>
      <x:c r="J76" s="524"/>
      <x:c r="K76" s="524"/>
    </x:row>
    <x:row r="77">
      <x:c r="A77" s="531" t="n"/>
      <x:c r="B77" s="531" t="n"/>
      <x:c r="C77" s="531" t="n"/>
      <x:c r="D77" s="531" t="n"/>
      <x:c r="E77" s="531" t="n"/>
      <x:c r="F77" s="524"/>
      <x:c r="G77" s="524"/>
      <x:c r="H77" s="524"/>
      <x:c r="I77" s="524"/>
      <x:c r="J77" s="524"/>
      <x:c r="K77" s="524"/>
    </x:row>
    <x:row r="78">
      <x:c r="A78" s="531" t="n"/>
      <x:c r="B78" s="531" t="n"/>
      <x:c r="C78" s="531" t="n"/>
      <x:c r="D78" s="531" t="n"/>
      <x:c r="E78" s="531" t="n"/>
      <x:c r="F78" s="524"/>
      <x:c r="G78" s="524"/>
      <x:c r="H78" s="524"/>
      <x:c r="I78" s="524"/>
      <x:c r="J78" s="524"/>
      <x:c r="K78" s="524"/>
    </x:row>
    <x:row r="79">
      <x:c r="A79" s="531" t="n"/>
      <x:c r="B79" s="531" t="n"/>
      <x:c r="C79" s="531" t="n"/>
      <x:c r="D79" s="531" t="n"/>
      <x:c r="E79" s="531" t="n"/>
      <x:c r="F79" s="524"/>
      <x:c r="G79" s="524"/>
      <x:c r="H79" s="524"/>
      <x:c r="I79" s="524"/>
      <x:c r="J79" s="524"/>
      <x:c r="K79" s="524"/>
    </x:row>
    <x:row r="80">
      <x:c r="A80" s="531" t="n"/>
      <x:c r="B80" s="531" t="n"/>
      <x:c r="C80" s="531" t="n"/>
      <x:c r="D80" s="531" t="n"/>
      <x:c r="E80" s="531" t="n"/>
      <x:c r="F80" s="524"/>
      <x:c r="G80" s="524"/>
      <x:c r="H80" s="524"/>
      <x:c r="I80" s="524"/>
      <x:c r="J80" s="524"/>
      <x:c r="K80" s="524"/>
    </x:row>
    <x:row r="81">
      <x:c r="A81" s="531" t="n"/>
      <x:c r="B81" s="531" t="n"/>
      <x:c r="C81" s="531" t="n"/>
      <x:c r="D81" s="531" t="n"/>
      <x:c r="E81" s="531" t="n"/>
      <x:c r="F81" s="524"/>
      <x:c r="G81" s="524"/>
      <x:c r="H81" s="524"/>
      <x:c r="I81" s="524"/>
      <x:c r="J81" s="524"/>
      <x:c r="K81" s="524"/>
    </x:row>
    <x:row r="82">
      <x:c r="A82" s="531" t="n"/>
      <x:c r="B82" s="531" t="n"/>
      <x:c r="C82" s="531" t="n"/>
      <x:c r="D82" s="531" t="n"/>
      <x:c r="E82" s="531" t="n"/>
      <x:c r="F82" s="524"/>
      <x:c r="G82" s="524"/>
      <x:c r="H82" s="524"/>
      <x:c r="I82" s="524"/>
      <x:c r="J82" s="524"/>
      <x:c r="K82" s="524"/>
    </x:row>
    <x:row r="83">
      <x:c r="A83" s="531" t="n"/>
      <x:c r="B83" s="531" t="n"/>
      <x:c r="C83" s="531" t="n"/>
      <x:c r="D83" s="531" t="n"/>
      <x:c r="E83" s="531" t="n"/>
      <x:c r="F83" s="524"/>
      <x:c r="G83" s="524"/>
      <x:c r="H83" s="524"/>
      <x:c r="I83" s="524"/>
      <x:c r="J83" s="524"/>
      <x:c r="K83" s="524"/>
    </x:row>
    <x:row r="84">
      <x:c r="A84" s="531" t="n"/>
      <x:c r="B84" s="531" t="n"/>
      <x:c r="C84" s="531" t="n"/>
      <x:c r="D84" s="531" t="n"/>
      <x:c r="E84" s="531" t="n"/>
      <x:c r="F84" s="524"/>
      <x:c r="G84" s="524"/>
      <x:c r="H84" s="524"/>
      <x:c r="I84" s="524"/>
      <x:c r="J84" s="524"/>
      <x:c r="K84" s="524"/>
    </x:row>
    <x:row r="85">
      <x:c r="A85" s="531" t="n"/>
      <x:c r="B85" s="531" t="n"/>
      <x:c r="C85" s="531" t="n"/>
      <x:c r="D85" s="531" t="n"/>
      <x:c r="E85" s="531" t="n"/>
      <x:c r="F85" s="524"/>
      <x:c r="G85" s="524"/>
      <x:c r="H85" s="524"/>
      <x:c r="I85" s="524"/>
      <x:c r="J85" s="524"/>
      <x:c r="K85" s="524"/>
    </x:row>
    <x:row r="86">
      <x:c r="A86" s="531" t="n"/>
      <x:c r="B86" s="531" t="n"/>
      <x:c r="C86" s="531" t="n"/>
      <x:c r="D86" s="531" t="n"/>
      <x:c r="E86" s="531" t="n"/>
      <x:c r="F86" s="524"/>
      <x:c r="G86" s="524"/>
      <x:c r="H86" s="524"/>
      <x:c r="I86" s="524"/>
      <x:c r="J86" s="524"/>
      <x:c r="K86" s="524"/>
    </x:row>
    <x:row r="87">
      <x:c r="A87" s="531" t="n"/>
      <x:c r="B87" s="531" t="n"/>
      <x:c r="C87" s="531" t="n"/>
      <x:c r="D87" s="531" t="n"/>
      <x:c r="E87" s="531" t="n"/>
      <x:c r="F87" s="524"/>
      <x:c r="G87" s="524"/>
      <x:c r="H87" s="524"/>
      <x:c r="I87" s="524"/>
      <x:c r="J87" s="524"/>
      <x:c r="K87" s="524"/>
    </x:row>
    <x:row r="88">
      <x:c r="A88" s="531" t="n"/>
      <x:c r="B88" s="531" t="n"/>
      <x:c r="C88" s="531" t="n"/>
      <x:c r="D88" s="531" t="n"/>
      <x:c r="E88" s="531" t="n"/>
      <x:c r="F88" s="524"/>
      <x:c r="G88" s="524"/>
      <x:c r="H88" s="524"/>
      <x:c r="I88" s="524"/>
      <x:c r="J88" s="524"/>
      <x:c r="K88" s="524"/>
    </x:row>
    <x:row r="89">
      <x:c r="A89" s="531" t="n"/>
      <x:c r="B89" s="531" t="n"/>
      <x:c r="C89" s="531" t="n"/>
      <x:c r="D89" s="531" t="n"/>
      <x:c r="E89" s="531" t="n"/>
      <x:c r="F89" s="524"/>
      <x:c r="G89" s="524"/>
      <x:c r="H89" s="524"/>
      <x:c r="I89" s="524"/>
      <x:c r="J89" s="524"/>
      <x:c r="K89" s="524"/>
    </x:row>
    <x:row r="90">
      <x:c r="A90" s="531" t="n"/>
      <x:c r="B90" s="531" t="n"/>
      <x:c r="C90" s="531" t="n"/>
      <x:c r="D90" s="531" t="n"/>
      <x:c r="E90" s="531" t="n"/>
      <x:c r="F90" s="524"/>
      <x:c r="G90" s="524"/>
      <x:c r="H90" s="524"/>
      <x:c r="I90" s="524"/>
      <x:c r="J90" s="524"/>
      <x:c r="K90" s="524"/>
    </x:row>
    <x:row r="91">
      <x:c r="A91" s="531" t="n"/>
      <x:c r="B91" s="531" t="n"/>
      <x:c r="C91" s="531" t="n"/>
      <x:c r="D91" s="531" t="n"/>
      <x:c r="E91" s="531" t="n"/>
      <x:c r="F91" s="524"/>
      <x:c r="G91" s="524"/>
      <x:c r="H91" s="524"/>
      <x:c r="I91" s="524"/>
      <x:c r="J91" s="524"/>
      <x:c r="K91" s="524"/>
    </x:row>
    <x:row r="92">
      <x:c r="A92" s="531" t="n"/>
      <x:c r="B92" s="531" t="n"/>
      <x:c r="C92" s="531" t="n"/>
      <x:c r="D92" s="531" t="n"/>
      <x:c r="E92" s="531" t="n"/>
      <x:c r="F92" s="524"/>
      <x:c r="G92" s="524"/>
      <x:c r="H92" s="524"/>
      <x:c r="I92" s="524"/>
      <x:c r="J92" s="524"/>
      <x:c r="K92" s="524"/>
    </x:row>
    <x:row r="93">
      <x:c r="A93" s="531" t="n"/>
      <x:c r="B93" s="531" t="n"/>
      <x:c r="C93" s="531" t="n"/>
      <x:c r="D93" s="531" t="n"/>
      <x:c r="E93" s="531" t="n"/>
      <x:c r="F93" s="524"/>
      <x:c r="G93" s="524"/>
      <x:c r="H93" s="524"/>
      <x:c r="I93" s="524"/>
      <x:c r="J93" s="524"/>
      <x:c r="K93" s="524"/>
    </x:row>
    <x:row r="94">
      <x:c r="A94" s="531" t="n"/>
      <x:c r="B94" s="531" t="n"/>
      <x:c r="C94" s="531" t="n"/>
      <x:c r="D94" s="531" t="n"/>
      <x:c r="E94" s="531" t="n"/>
      <x:c r="F94" s="524"/>
      <x:c r="G94" s="524"/>
      <x:c r="H94" s="524"/>
      <x:c r="I94" s="524"/>
      <x:c r="J94" s="524"/>
      <x:c r="K94" s="524"/>
    </x:row>
    <x:row r="95">
      <x:c r="A95" s="531" t="n"/>
      <x:c r="B95" s="531" t="n"/>
      <x:c r="C95" s="531" t="n"/>
      <x:c r="D95" s="531" t="n"/>
      <x:c r="E95" s="531" t="n"/>
      <x:c r="F95" s="524"/>
      <x:c r="G95" s="524"/>
      <x:c r="H95" s="524"/>
      <x:c r="I95" s="524"/>
      <x:c r="J95" s="524"/>
      <x:c r="K95" s="524"/>
    </x:row>
    <x:row r="96">
      <x:c r="A96" s="531" t="n"/>
      <x:c r="B96" s="531" t="n"/>
      <x:c r="C96" s="531" t="n"/>
      <x:c r="D96" s="531" t="n"/>
      <x:c r="E96" s="531" t="n"/>
      <x:c r="F96" s="524"/>
      <x:c r="G96" s="524"/>
      <x:c r="H96" s="524"/>
      <x:c r="I96" s="524"/>
      <x:c r="J96" s="524"/>
      <x:c r="K96" s="524"/>
    </x:row>
    <x:row r="97">
      <x:c r="A97" s="531" t="n"/>
      <x:c r="B97" s="531" t="n"/>
      <x:c r="C97" s="531" t="n"/>
      <x:c r="D97" s="531" t="n"/>
      <x:c r="E97" s="531" t="n"/>
      <x:c r="F97" s="524"/>
      <x:c r="G97" s="524"/>
      <x:c r="H97" s="524"/>
      <x:c r="I97" s="524"/>
      <x:c r="J97" s="524"/>
      <x:c r="K97" s="524"/>
    </x:row>
    <x:row r="98">
      <x:c r="A98" s="531" t="n"/>
      <x:c r="B98" s="531" t="n"/>
      <x:c r="C98" s="531" t="n"/>
      <x:c r="D98" s="531" t="n"/>
      <x:c r="E98" s="531" t="n"/>
      <x:c r="F98" s="524"/>
      <x:c r="G98" s="524"/>
      <x:c r="H98" s="524"/>
      <x:c r="I98" s="524"/>
      <x:c r="J98" s="524"/>
      <x:c r="K98" s="524"/>
    </x:row>
    <x:row r="99">
      <x:c r="A99" s="531" t="n"/>
      <x:c r="B99" s="531" t="n"/>
      <x:c r="C99" s="531" t="n"/>
      <x:c r="D99" s="531" t="n"/>
      <x:c r="E99" s="531" t="n"/>
      <x:c r="F99" s="524"/>
      <x:c r="G99" s="524"/>
      <x:c r="H99" s="524"/>
      <x:c r="I99" s="524"/>
      <x:c r="J99" s="524"/>
      <x:c r="K99" s="524"/>
    </x:row>
    <x:row r="100">
      <x:c r="A100" s="531" t="n"/>
      <x:c r="B100" s="531" t="n"/>
      <x:c r="C100" s="531" t="n"/>
      <x:c r="D100" s="531" t="n"/>
      <x:c r="E100" s="531" t="n"/>
      <x:c r="F100" s="524"/>
      <x:c r="G100" s="524"/>
      <x:c r="H100" s="524"/>
      <x:c r="I100" s="524"/>
      <x:c r="J100" s="524"/>
      <x:c r="K100" s="524"/>
    </x:row>
  </x:sheetData>
  <x:mergeCells>
    <x:mergeCell ref="G3:K3"/>
    <x:mergeCell ref="H4:K4"/>
    <x:mergeCell ref="H6:K6"/>
    <x:mergeCell ref="A1:E1"/>
    <x:mergeCell ref="H5:K5"/>
  </x:mergeCells>
  <x:dataValidations count="1">
    <x:dataValidation type="list" allowBlank="0" showDropDown="0" showInputMessage="0" showErrorMessage="0" sqref="A4:A100">
      <x:formula1>'5_Danh mục'!$E$3:$E$11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55" style="14" customWidth="1"/>
    <x:col min="2" max="2" width="16" style="14" customWidth="1"/>
    <x:col min="3" max="3" width="18" style="14" customWidth="1"/>
    <x:col min="4" max="4" width="52" style="14" customWidth="1"/>
    <x:col min="5" max="5" width="18" style="14" customWidth="1"/>
    <x:col min="6" max="6" width="16" style="14" customWidth="1"/>
    <x:col min="7" max="7" width="18" style="14" customWidth="1"/>
    <x:col min="8" max="8" width="28" style="14" customWidth="1"/>
    <x:col min="9" max="9" width="16" style="14" customWidth="1"/>
    <x:col min="10" max="10" width="48" style="14" customWidth="1"/>
    <x:col min="11" max="11" width="56" style="14" customWidth="1"/>
  </x:cols>
  <x:sheetData>
    <x:row r="1" s="14" customFormat="1" ht="28" customHeight="1">
      <x:c r="A1" s="535" t="inlineStr">
        <x:is>
          <x:t xml:space="preserve">PHÍ SÀN TMĐT — THAM CHIẾU 20/09/2026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  <x:c r="K2" s="524"/>
    </x:row>
    <x:row r="3" s="14" customFormat="1" ht="30" customHeight="1">
      <x:c r="A3" s="529" t="inlineStr">
        <x:is>
          <x:t xml:space="preserve">Key tra cứu</x:t>
        </x:is>
      </x:c>
      <x:c r="B3" s="529" t="inlineStr">
        <x:is>
          <x:t xml:space="preserve">Sàn</x:t>
        </x:is>
      </x:c>
      <x:c r="C3" s="529" t="inlineStr">
        <x:is>
          <x:t xml:space="preserve">Loại shop</x:t>
        </x:is>
      </x:c>
      <x:c r="D3" s="529" t="inlineStr">
        <x:is>
          <x:t xml:space="preserve">Danh mục</x:t>
        </x:is>
      </x:c>
      <x:c r="E3" s="529" t="inlineStr">
        <x:is>
          <x:t xml:space="preserve">Phí hoa hồng / cố định %</x:t>
        </x:is>
      </x:c>
      <x:c r="F3" s="529" t="inlineStr">
        <x:is>
          <x:t xml:space="preserve">Phí giao dịch %</x:t>
        </x:is>
      </x:c>
      <x:c r="G3" s="529" t="inlineStr">
        <x:is>
          <x:t xml:space="preserve">Phí cố định/đơn</x:t>
        </x:is>
      </x:c>
      <x:c r="H3" s="529" t="inlineStr">
        <x:is>
          <x:t xml:space="preserve">Khoảng công bố</x:t>
        </x:is>
      </x:c>
      <x:c r="I3" s="529" t="inlineStr">
        <x:is>
          <x:t xml:space="preserve">Ngày hiệu lực</x:t>
        </x:is>
      </x:c>
      <x:c r="J3" s="529" t="inlineStr">
        <x:is>
          <x:t xml:space="preserve">Nguồn URL</x:t>
        </x:is>
      </x:c>
      <x:c r="K3" s="529" t="inlineStr">
        <x:is>
          <x:t xml:space="preserve">Ghi chú</x:t>
        </x:is>
      </x:c>
    </x:row>
    <x:row r="4">
      <x:c r="A4" s="546" t="inlineStr">
        <x:is>
          <x:t xml:space="preserve">TikTok|Tiêu chuẩn|Nhà cửa &amp; Đời sống</x:t>
        </x:is>
      </x:c>
      <x:c r="B4" s="524" t="inlineStr">
        <x:is>
          <x:t xml:space="preserve">TikTok Shop</x:t>
        </x:is>
      </x:c>
      <x:c r="C4" s="524" t="inlineStr">
        <x:is>
          <x:t xml:space="preserve">Tiêu chuẩn</x:t>
        </x:is>
      </x:c>
      <x:c r="D4" s="524" t="inlineStr">
        <x:is>
          <x:t xml:space="preserve">Nhà cửa &amp; Đời sống</x:t>
        </x:is>
      </x:c>
      <x:c r="E4" s="539" t="n">
        <x:v>0.14</x:v>
      </x:c>
      <x:c r="F4" s="539" t="n">
        <x:v>0.06</x:v>
      </x:c>
      <x:c r="G4" s="541" t="n">
        <x:v>3000</x:v>
      </x:c>
      <x:c r="H4" s="524" t="inlineStr">
        <x:is>
          <x:t xml:space="preserve">10%–16%; default 14% for unlisted level-3</x:t>
        </x:is>
      </x:c>
      <x:c r="I4" s="538" t="n">
        <x:v>46206</x:v>
      </x:c>
      <x:c r="J4" s="524" t="inlineStr">
        <x:is>
          <x:t xml:space="preserve">https://seller-vn.tiktok.com/university/essay?knowledge_id=3396736626312961</x:t>
        </x:is>
      </x:c>
      <x:c r="K4" s="524" t="inlineStr">
        <x:is>
          <x:t xml:space="preserve">Phí hoa hồng mặc định 14% nếu ngành cấp 3 không có trong bảng; 6% phí giao dịch; 3.000đ xử lý đơn.</x:t>
        </x:is>
      </x:c>
    </x:row>
    <x:row r="5">
      <x:c r="A5" s="546" t="inlineStr">
        <x:is>
          <x:t xml:space="preserve">TikTok|Mall|Nhà cửa &amp; Đời sống</x:t>
        </x:is>
      </x:c>
      <x:c r="B5" s="524" t="inlineStr">
        <x:is>
          <x:t xml:space="preserve">TikTok Shop</x:t>
        </x:is>
      </x:c>
      <x:c r="C5" s="524" t="inlineStr">
        <x:is>
          <x:t xml:space="preserve">Mall</x:t>
        </x:is>
      </x:c>
      <x:c r="D5" s="524" t="inlineStr">
        <x:is>
          <x:t xml:space="preserve">Nhà cửa &amp; Đời sống</x:t>
        </x:is>
      </x:c>
      <x:c r="E5" s="539" t="n">
        <x:v>0.16</x:v>
      </x:c>
      <x:c r="F5" s="539" t="n">
        <x:v>0.06</x:v>
      </x:c>
      <x:c r="G5" s="541" t="n">
        <x:v>3000</x:v>
      </x:c>
      <x:c r="H5" s="524" t="inlineStr">
        <x:is>
          <x:t xml:space="preserve">14.7%–17.7%; default 16% for unlisted level-3</x:t>
        </x:is>
      </x:c>
      <x:c r="I5" s="538" t="n">
        <x:v>46237</x:v>
      </x:c>
      <x:c r="J5" s="524" t="inlineStr">
        <x:is>
          <x:t xml:space="preserve">https://seller-vn.tiktok.com/university/essay?knowledge_id=3396736626312961</x:t>
        </x:is>
      </x:c>
      <x:c r="K5" s="524" t="inlineStr">
        <x:is>
          <x:t xml:space="preserve">Phí hoa hồng mặc định 16% nếu ngành cấp 3 không có trong bảng; 6% phí giao dịch; 3.000đ xử lý đơn.</x:t>
        </x:is>
      </x:c>
    </x:row>
    <x:row r="6">
      <x:c r="A6" s="546" t="inlineStr">
        <x:is>
          <x:t xml:space="preserve">TikTok|Tiêu chuẩn|Đồ chơi &amp; sở thích</x:t>
        </x:is>
      </x:c>
      <x:c r="B6" s="524" t="inlineStr">
        <x:is>
          <x:t xml:space="preserve">TikTok Shop</x:t>
        </x:is>
      </x:c>
      <x:c r="C6" s="524" t="inlineStr">
        <x:is>
          <x:t xml:space="preserve">Tiêu chuẩn</x:t>
        </x:is>
      </x:c>
      <x:c r="D6" s="524" t="inlineStr">
        <x:is>
          <x:t xml:space="preserve">Đồ chơi &amp; sở thích</x:t>
        </x:is>
      </x:c>
      <x:c r="E6" s="539" t="n">
        <x:v>0.155</x:v>
      </x:c>
      <x:c r="F6" s="539" t="n">
        <x:v>0.06</x:v>
      </x:c>
      <x:c r="G6" s="541" t="n">
        <x:v>3000</x:v>
      </x:c>
      <x:c r="H6" s="524" t="inlineStr">
        <x:is>
          <x:t xml:space="preserve">13%–15.5%</x:t>
        </x:is>
      </x:c>
      <x:c r="I6" s="538" t="n">
        <x:v>46206</x:v>
      </x:c>
      <x:c r="J6" s="524" t="inlineStr">
        <x:is>
          <x:t xml:space="preserve">https://seller-vn.tiktok.com/university/essay?knowledge_id=3396736626312961</x:t>
        </x:is>
      </x:c>
      <x:c r="K6" s="524" t="inlineStr">
        <x:is>
          <x:t xml:space="preserve">Mức calculator dùng cận trên để tránh định giá thiếu phí khi chưa có level-3 cụ thể.</x:t>
        </x:is>
      </x:c>
    </x:row>
    <x:row r="7">
      <x:c r="A7" s="546" t="inlineStr">
        <x:is>
          <x:t xml:space="preserve">TikTok|Mall|Đồ chơi &amp; sở thích</x:t>
        </x:is>
      </x:c>
      <x:c r="B7" s="524" t="inlineStr">
        <x:is>
          <x:t xml:space="preserve">TikTok Shop</x:t>
        </x:is>
      </x:c>
      <x:c r="C7" s="524" t="inlineStr">
        <x:is>
          <x:t xml:space="preserve">Mall</x:t>
        </x:is>
      </x:c>
      <x:c r="D7" s="524" t="inlineStr">
        <x:is>
          <x:t xml:space="preserve">Đồ chơi &amp; sở thích</x:t>
        </x:is>
      </x:c>
      <x:c r="E7" s="539" t="n">
        <x:v>0.177</x:v>
      </x:c>
      <x:c r="F7" s="539" t="n">
        <x:v>0.06</x:v>
      </x:c>
      <x:c r="G7" s="541" t="n">
        <x:v>3000</x:v>
      </x:c>
      <x:c r="H7" s="524" t="inlineStr">
        <x:is>
          <x:t xml:space="preserve">14.5%–17.7%</x:t>
        </x:is>
      </x:c>
      <x:c r="I7" s="538" t="n">
        <x:v>46237</x:v>
      </x:c>
      <x:c r="J7" s="524" t="inlineStr">
        <x:is>
          <x:t xml:space="preserve">https://seller-vn.tiktok.com/university/essay?knowledge_id=3396736626312961</x:t>
        </x:is>
      </x:c>
      <x:c r="K7" s="524" t="inlineStr">
        <x:is>
          <x:t xml:space="preserve">Mức calculator dùng cận trên.</x:t>
        </x:is>
      </x:c>
    </x:row>
    <x:row r="8">
      <x:c r="A8" s="546" t="inlineStr">
        <x:is>
          <x:t xml:space="preserve">TikTok|Tiêu chuẩn|Thiết bị gia dụng</x:t>
        </x:is>
      </x:c>
      <x:c r="B8" s="524" t="inlineStr">
        <x:is>
          <x:t xml:space="preserve">TikTok Shop</x:t>
        </x:is>
      </x:c>
      <x:c r="C8" s="524" t="inlineStr">
        <x:is>
          <x:t xml:space="preserve">Tiêu chuẩn</x:t>
        </x:is>
      </x:c>
      <x:c r="D8" s="524" t="inlineStr">
        <x:is>
          <x:t xml:space="preserve">Thiết bị gia dụng</x:t>
        </x:is>
      </x:c>
      <x:c r="E8" s="539" t="n">
        <x:v>0.125</x:v>
      </x:c>
      <x:c r="F8" s="539" t="n">
        <x:v>0.06</x:v>
      </x:c>
      <x:c r="G8" s="541" t="n">
        <x:v>3000</x:v>
      </x:c>
      <x:c r="H8" s="524" t="inlineStr">
        <x:is>
          <x:t xml:space="preserve">6.5%–12.5%</x:t>
        </x:is>
      </x:c>
      <x:c r="I8" s="538" t="n">
        <x:v>46206</x:v>
      </x:c>
      <x:c r="J8" s="524" t="inlineStr">
        <x:is>
          <x:t xml:space="preserve">https://seller-vn.tiktok.com/university/essay?knowledge_id=3396736626312961</x:t>
        </x:is>
      </x:c>
      <x:c r="K8" s="524" t="inlineStr">
        <x:is>
          <x:t xml:space="preserve">Mức calculator dùng cận trên.</x:t>
        </x:is>
      </x:c>
    </x:row>
    <x:row r="9">
      <x:c r="A9" s="546" t="inlineStr">
        <x:is>
          <x:t xml:space="preserve">TikTok|Mall|Thiết bị gia dụng</x:t>
        </x:is>
      </x:c>
      <x:c r="B9" s="524" t="inlineStr">
        <x:is>
          <x:t xml:space="preserve">TikTok Shop</x:t>
        </x:is>
      </x:c>
      <x:c r="C9" s="524" t="inlineStr">
        <x:is>
          <x:t xml:space="preserve">Mall</x:t>
        </x:is>
      </x:c>
      <x:c r="D9" s="524" t="inlineStr">
        <x:is>
          <x:t xml:space="preserve">Thiết bị gia dụng</x:t>
        </x:is>
      </x:c>
      <x:c r="E9" s="539" t="n">
        <x:v>0.157</x:v>
      </x:c>
      <x:c r="F9" s="539" t="n">
        <x:v>0.06</x:v>
      </x:c>
      <x:c r="G9" s="541" t="n">
        <x:v>3000</x:v>
      </x:c>
      <x:c r="H9" s="524" t="inlineStr">
        <x:is>
          <x:t xml:space="preserve">3.8%–15.7%</x:t>
        </x:is>
      </x:c>
      <x:c r="I9" s="538" t="n">
        <x:v>46237</x:v>
      </x:c>
      <x:c r="J9" s="524" t="inlineStr">
        <x:is>
          <x:t xml:space="preserve">https://seller-vn.tiktok.com/university/essay?knowledge_id=3396736626312961</x:t>
        </x:is>
      </x:c>
      <x:c r="K9" s="524" t="inlineStr">
        <x:is>
          <x:t xml:space="preserve">Mức calculator dùng cận trên.</x:t>
        </x:is>
      </x:c>
    </x:row>
    <x:row r="10">
      <x:c r="A10" s="546" t="inlineStr">
        <x:is>
          <x:t xml:space="preserve">TikTok|Tiêu chuẩn|Máy tính &amp; Thiết bị Văn phòng</x:t>
        </x:is>
      </x:c>
      <x:c r="B10" s="524" t="inlineStr">
        <x:is>
          <x:t xml:space="preserve">TikTok Shop</x:t>
        </x:is>
      </x:c>
      <x:c r="C10" s="524" t="inlineStr">
        <x:is>
          <x:t xml:space="preserve">Tiêu chuẩn</x:t>
        </x:is>
      </x:c>
      <x:c r="D10" s="524" t="inlineStr">
        <x:is>
          <x:t xml:space="preserve">Máy tính &amp; Thiết bị Văn phòng</x:t>
        </x:is>
      </x:c>
      <x:c r="E10" s="539" t="n">
        <x:v>0.145</x:v>
      </x:c>
      <x:c r="F10" s="539" t="n">
        <x:v>0.06</x:v>
      </x:c>
      <x:c r="G10" s="541" t="n">
        <x:v>3000</x:v>
      </x:c>
      <x:c r="H10" s="524" t="inlineStr">
        <x:is>
          <x:t xml:space="preserve">10%–14.5%</x:t>
        </x:is>
      </x:c>
      <x:c r="I10" s="538" t="n">
        <x:v>46206</x:v>
      </x:c>
      <x:c r="J10" s="524" t="inlineStr">
        <x:is>
          <x:t xml:space="preserve">https://seller-vn.tiktok.com/university/essay?knowledge_id=3396736626312961</x:t>
        </x:is>
      </x:c>
      <x:c r="K10" s="524" t="inlineStr">
        <x:is>
          <x:t xml:space="preserve">Mức calculator dùng cận trên.</x:t>
        </x:is>
      </x:c>
    </x:row>
    <x:row r="11">
      <x:c r="A11" s="546" t="inlineStr">
        <x:is>
          <x:t xml:space="preserve">TikTok|Mall|Máy tính &amp; Thiết bị Văn phòng</x:t>
        </x:is>
      </x:c>
      <x:c r="B11" s="524" t="inlineStr">
        <x:is>
          <x:t xml:space="preserve">TikTok Shop</x:t>
        </x:is>
      </x:c>
      <x:c r="C11" s="524" t="inlineStr">
        <x:is>
          <x:t xml:space="preserve">Mall</x:t>
        </x:is>
      </x:c>
      <x:c r="D11" s="524" t="inlineStr">
        <x:is>
          <x:t xml:space="preserve">Máy tính &amp; Thiết bị Văn phòng</x:t>
        </x:is>
      </x:c>
      <x:c r="E11" s="539" t="n">
        <x:v>0.177</x:v>
      </x:c>
      <x:c r="F11" s="539" t="n">
        <x:v>0.06</x:v>
      </x:c>
      <x:c r="G11" s="541" t="n">
        <x:v>3000</x:v>
      </x:c>
      <x:c r="H11" s="524" t="inlineStr">
        <x:is>
          <x:t xml:space="preserve">14.5%–17.7%</x:t>
        </x:is>
      </x:c>
      <x:c r="I11" s="538" t="n">
        <x:v>46237</x:v>
      </x:c>
      <x:c r="J11" s="524" t="inlineStr">
        <x:is>
          <x:t xml:space="preserve">https://seller-vn.tiktok.com/university/essay?knowledge_id=3396736626312961</x:t>
        </x:is>
      </x:c>
      <x:c r="K11" s="524" t="inlineStr">
        <x:is>
          <x:t xml:space="preserve">Mức calculator dùng cận trên.</x:t>
        </x:is>
      </x:c>
    </x:row>
    <x:row r="12">
      <x:c r="A12" s="546" t="inlineStr">
        <x:is>
          <x:t xml:space="preserve">Shopee|Shop thường|Nhà cửa &amp; Đời sống &gt; Đèn</x:t>
        </x:is>
      </x:c>
      <x:c r="B12" s="524" t="inlineStr">
        <x:is>
          <x:t xml:space="preserve">Shopee</x:t>
        </x:is>
      </x:c>
      <x:c r="C12" s="524" t="inlineStr">
        <x:is>
          <x:t xml:space="preserve">Shop thường</x:t>
        </x:is>
      </x:c>
      <x:c r="D12" s="524" t="inlineStr">
        <x:is>
          <x:t xml:space="preserve">Nhà cửa &amp; Đời sống &gt; Đèn</x:t>
        </x:is>
      </x:c>
      <x:c r="E12" s="539" t="n">
        <x:v>0.14</x:v>
      </x:c>
      <x:c r="F12" s="539" t="n">
        <x:v>0.06</x:v>
      </x:c>
      <x:c r="G12" s="541" t="n">
        <x:v>3000</x:v>
      </x:c>
      <x:c r="H12" s="524" t="inlineStr">
        <x:is>
          <x:t xml:space="preserve">14%</x:t>
        </x:is>
      </x:c>
      <x:c r="I12" s="538" t="n">
        <x:v>46165</x:v>
      </x:c>
      <x:c r="J12" s="524" t="inlineStr">
        <x:is>
          <x:t xml:space="preserve">https://mms.file.susercontent.com/api/v4/11195002/mms/vn-11195002-bmlg5-mo82qh7ujsau29</x:t>
        </x:is>
      </x:c>
      <x:c r="K12" s="524" t="inlineStr">
        <x:is>
          <x:t xml:space="preserve">Phí cố định 14%; phí xử lý giao dịch 6%; phí hạ tầng 3.000đ/đơn.</x:t>
        </x:is>
      </x:c>
    </x:row>
    <x:row r="13">
      <x:c r="A13" s="546" t="inlineStr">
        <x:is>
          <x:t xml:space="preserve">Shopee|Shop thường|Nhà cửa &amp; Đời sống &gt; Trang trí nhà cửa &gt; Khác</x:t>
        </x:is>
      </x:c>
      <x:c r="B13" s="524" t="inlineStr">
        <x:is>
          <x:t xml:space="preserve">Shopee</x:t>
        </x:is>
      </x:c>
      <x:c r="C13" s="524" t="inlineStr">
        <x:is>
          <x:t xml:space="preserve">Shop thường</x:t>
        </x:is>
      </x:c>
      <x:c r="D13" s="524" t="inlineStr">
        <x:is>
          <x:t xml:space="preserve">Nhà cửa &amp; Đời sống &gt; Trang trí nhà cửa &gt; Khác</x:t>
        </x:is>
      </x:c>
      <x:c r="E13" s="539" t="n">
        <x:v>0.16</x:v>
      </x:c>
      <x:c r="F13" s="539" t="n">
        <x:v>0.06</x:v>
      </x:c>
      <x:c r="G13" s="541" t="n">
        <x:v>3000</x:v>
      </x:c>
      <x:c r="H13" s="524" t="inlineStr">
        <x:is>
          <x:t xml:space="preserve">16%</x:t>
        </x:is>
      </x:c>
      <x:c r="I13" s="538" t="n">
        <x:v>46165</x:v>
      </x:c>
      <x:c r="J13" s="524" t="inlineStr">
        <x:is>
          <x:t xml:space="preserve">https://mms.file.susercontent.com/api/v4/11195002/mms/vn-11195002-bmlg5-mo82qh7ujsau29</x:t>
        </x:is>
      </x:c>
      <x:c r="K13" s="524" t="inlineStr">
        <x:is>
          <x:t xml:space="preserve">Phí cố định 16%.</x:t>
        </x:is>
      </x:c>
    </x:row>
    <x:row r="14">
      <x:c r="A14" s="546" t="inlineStr">
        <x:is>
          <x:t xml:space="preserve">Shopee|Shop thường|Nhà cửa &amp; Đời sống &gt; Trang trí nhà cửa &gt; Khung ảnh &amp; vật trang trí tường</x:t>
        </x:is>
      </x:c>
      <x:c r="B14" s="524" t="inlineStr">
        <x:is>
          <x:t xml:space="preserve">Shopee</x:t>
        </x:is>
      </x:c>
      <x:c r="C14" s="524" t="inlineStr">
        <x:is>
          <x:t xml:space="preserve">Shop thường</x:t>
        </x:is>
      </x:c>
      <x:c r="D14" s="524" t="inlineStr">
        <x:is>
          <x:t xml:space="preserve">Nhà cửa &amp; Đời sống &gt; Trang trí nhà cửa &gt; Khung ảnh &amp; vật trang trí tường</x:t>
        </x:is>
      </x:c>
      <x:c r="E14" s="539" t="n">
        <x:v>0.16</x:v>
      </x:c>
      <x:c r="F14" s="539" t="n">
        <x:v>0.06</x:v>
      </x:c>
      <x:c r="G14" s="541" t="n">
        <x:v>3000</x:v>
      </x:c>
      <x:c r="H14" s="524" t="inlineStr">
        <x:is>
          <x:t xml:space="preserve">16%</x:t>
        </x:is>
      </x:c>
      <x:c r="I14" s="538" t="n">
        <x:v>46165</x:v>
      </x:c>
      <x:c r="J14" s="524" t="inlineStr">
        <x:is>
          <x:t xml:space="preserve">https://mms.file.susercontent.com/api/v4/11195002/mms/vn-11195002-bmlg5-mo82qh7ujsau29</x:t>
        </x:is>
      </x:c>
      <x:c r="K14" s="524" t="inlineStr">
        <x:is>
          <x:t xml:space="preserve">Phí cố định 16%.</x:t>
        </x:is>
      </x:c>
    </x:row>
    <x:row r="15">
      <x:c r="A15" s="546" t="inlineStr">
        <x:is>
          <x:t xml:space="preserve">Shopee|Shop thường|Nhà cửa &amp; Đời sống &gt; Sắp xếp nhà cửa &gt; Kệ sách để bàn</x:t>
        </x:is>
      </x:c>
      <x:c r="B15" s="524" t="inlineStr">
        <x:is>
          <x:t xml:space="preserve">Shopee</x:t>
        </x:is>
      </x:c>
      <x:c r="C15" s="524" t="inlineStr">
        <x:is>
          <x:t xml:space="preserve">Shop thường</x:t>
        </x:is>
      </x:c>
      <x:c r="D15" s="524" t="inlineStr">
        <x:is>
          <x:t xml:space="preserve">Nhà cửa &amp; Đời sống &gt; Sắp xếp nhà cửa &gt; Kệ sách để bàn</x:t>
        </x:is>
      </x:c>
      <x:c r="E15" s="539" t="n">
        <x:v>0.16</x:v>
      </x:c>
      <x:c r="F15" s="539" t="n">
        <x:v>0.06</x:v>
      </x:c>
      <x:c r="G15" s="541" t="n">
        <x:v>3000</x:v>
      </x:c>
      <x:c r="H15" s="524" t="inlineStr">
        <x:is>
          <x:t xml:space="preserve">16%</x:t>
        </x:is>
      </x:c>
      <x:c r="I15" s="538" t="n">
        <x:v>46165</x:v>
      </x:c>
      <x:c r="J15" s="524" t="inlineStr">
        <x:is>
          <x:t xml:space="preserve">https://mms.file.susercontent.com/api/v4/11195002/mms/vn-11195002-bmlg5-mo82qh7ujsau29</x:t>
        </x:is>
      </x:c>
      <x:c r="K15" s="524" t="inlineStr">
        <x:is>
          <x:t xml:space="preserve">Phí cố định 16%.</x:t>
        </x:is>
      </x:c>
    </x:row>
    <x:row r="16">
      <x:c r="A16" s="546" t="inlineStr">
        <x:is>
          <x:t xml:space="preserve">Shopee|Shop thường|Điện Thoại &amp; Phụ Kiện &gt; Phụ kiện &gt; Móc khóa</x:t>
        </x:is>
      </x:c>
      <x:c r="B16" s="524" t="inlineStr">
        <x:is>
          <x:t xml:space="preserve">Shopee</x:t>
        </x:is>
      </x:c>
      <x:c r="C16" s="524" t="inlineStr">
        <x:is>
          <x:t xml:space="preserve">Shop thường</x:t>
        </x:is>
      </x:c>
      <x:c r="D16" s="524" t="inlineStr">
        <x:is>
          <x:t xml:space="preserve">Điện Thoại &amp; Phụ Kiện &gt; Phụ kiện &gt; Móc khóa</x:t>
        </x:is>
      </x:c>
      <x:c r="E16" s="539" t="n">
        <x:v>0.15</x:v>
      </x:c>
      <x:c r="F16" s="539" t="n">
        <x:v>0.06</x:v>
      </x:c>
      <x:c r="G16" s="541" t="n">
        <x:v>3000</x:v>
      </x:c>
      <x:c r="H16" s="524" t="inlineStr">
        <x:is>
          <x:t xml:space="preserve">15%</x:t>
        </x:is>
      </x:c>
      <x:c r="I16" s="538" t="n">
        <x:v>46165</x:v>
      </x:c>
      <x:c r="J16" s="524" t="inlineStr">
        <x:is>
          <x:t xml:space="preserve">https://mms.file.susercontent.com/api/v4/11195002/mms/vn-11195002-bmlg5-mo82qh7ujsau29</x:t>
        </x:is>
      </x:c>
      <x:c r="K16" s="524" t="inlineStr">
        <x:is>
          <x:t xml:space="preserve">Phí cố định 15%.</x:t>
        </x:is>
      </x:c>
    </x:row>
    <x:row r="17">
      <x:c r="A17" s="546" t="inlineStr">
        <x:is>
          <x:t xml:space="preserve">Shopee|Shop thường|Điện Thoại &amp; Phụ Kiện &gt; Phụ kiện &gt; Kẹp điện thoại</x:t>
        </x:is>
      </x:c>
      <x:c r="B17" s="524" t="inlineStr">
        <x:is>
          <x:t xml:space="preserve">Shopee</x:t>
        </x:is>
      </x:c>
      <x:c r="C17" s="524" t="inlineStr">
        <x:is>
          <x:t xml:space="preserve">Shop thường</x:t>
        </x:is>
      </x:c>
      <x:c r="D17" s="524" t="inlineStr">
        <x:is>
          <x:t xml:space="preserve">Điện Thoại &amp; Phụ Kiện &gt; Phụ kiện &gt; Kẹp điện thoại</x:t>
        </x:is>
      </x:c>
      <x:c r="E17" s="539" t="n">
        <x:v>0.15</x:v>
      </x:c>
      <x:c r="F17" s="539" t="n">
        <x:v>0.06</x:v>
      </x:c>
      <x:c r="G17" s="541" t="n">
        <x:v>3000</x:v>
      </x:c>
      <x:c r="H17" s="524" t="inlineStr">
        <x:is>
          <x:t xml:space="preserve">15%</x:t>
        </x:is>
      </x:c>
      <x:c r="I17" s="538" t="n">
        <x:v>46165</x:v>
      </x:c>
      <x:c r="J17" s="524" t="inlineStr">
        <x:is>
          <x:t xml:space="preserve">https://mms.file.susercontent.com/api/v4/11195002/mms/vn-11195002-bmlg5-mo82qh7ujsau29</x:t>
        </x:is>
      </x:c>
      <x:c r="K17" s="524" t="inlineStr">
        <x:is>
          <x:t xml:space="preserve">Phí cố định 15%.</x:t>
        </x:is>
      </x:c>
    </x:row>
    <x:row r="18">
      <x:c r="A18" s="546" t="inlineStr">
        <x:is>
          <x:t xml:space="preserve">Shopee|Shop thường|Nhà cửa &amp; Đời sống &gt; Khác</x:t>
        </x:is>
      </x:c>
      <x:c r="B18" s="524" t="inlineStr">
        <x:is>
          <x:t xml:space="preserve">Shopee</x:t>
        </x:is>
      </x:c>
      <x:c r="C18" s="524" t="inlineStr">
        <x:is>
          <x:t xml:space="preserve">Shop thường</x:t>
        </x:is>
      </x:c>
      <x:c r="D18" s="524" t="inlineStr">
        <x:is>
          <x:t xml:space="preserve">Nhà cửa &amp; Đời sống &gt; Khác</x:t>
        </x:is>
      </x:c>
      <x:c r="E18" s="539" t="n">
        <x:v>0.16</x:v>
      </x:c>
      <x:c r="F18" s="539" t="n">
        <x:v>0.06</x:v>
      </x:c>
      <x:c r="G18" s="541" t="n">
        <x:v>3000</x:v>
      </x:c>
      <x:c r="H18" s="524" t="inlineStr">
        <x:is>
          <x:t xml:space="preserve">16%</x:t>
        </x:is>
      </x:c>
      <x:c r="I18" s="538" t="n">
        <x:v>46165</x:v>
      </x:c>
      <x:c r="J18" s="524" t="inlineStr">
        <x:is>
          <x:t xml:space="preserve">https://mms.file.susercontent.com/api/v4/11195002/mms/vn-11195002-bmlg5-mo82qh7ujsau29</x:t>
        </x:is>
      </x:c>
      <x:c r="K18" s="524" t="inlineStr">
        <x:is>
          <x:t xml:space="preserve">Phí cố định 16%.</x:t>
        </x:is>
      </x:c>
    </x:row>
    <x:row r="19">
      <x:c r="A19" s="524"/>
      <x:c r="B19" s="524"/>
      <x:c r="C19" s="524"/>
      <x:c r="D19" s="524"/>
      <x:c r="E19" s="524"/>
      <x:c r="F19" s="524"/>
      <x:c r="G19" s="524"/>
      <x:c r="H19" s="524"/>
      <x:c r="I19" s="524"/>
      <x:c r="J19" s="524"/>
      <x:c r="K19" s="524"/>
    </x:row>
    <x:row r="20">
      <x:c r="A20" s="524"/>
      <x:c r="B20" s="524"/>
      <x:c r="C20" s="524"/>
      <x:c r="D20" s="524"/>
      <x:c r="E20" s="524"/>
      <x:c r="F20" s="524"/>
      <x:c r="G20" s="524"/>
      <x:c r="H20" s="524"/>
      <x:c r="I20" s="524"/>
      <x:c r="J20" s="524"/>
      <x:c r="K20" s="524"/>
    </x:row>
    <x:row r="21">
      <x:c r="A21" s="524"/>
      <x:c r="B21" s="524"/>
      <x:c r="C21" s="524"/>
      <x:c r="D21" s="524"/>
      <x:c r="E21" s="524"/>
      <x:c r="F21" s="524"/>
      <x:c r="G21" s="524"/>
      <x:c r="H21" s="524"/>
      <x:c r="I21" s="524"/>
      <x:c r="J21" s="524"/>
      <x:c r="K21" s="524"/>
    </x:row>
    <x:row r="22">
      <x:c r="A22" s="525" t="inlineStr">
        <x:is>
          <x:t xml:space="preserve">GHI CHÚ QUAN TRỌNG</x:t>
        </x:is>
      </x:c>
      <x:c r="B22" s="524" t="n"/>
      <x:c r="C22" s="524" t="n"/>
      <x:c r="D22" s="524" t="n"/>
      <x:c r="E22" s="524" t="n"/>
      <x:c r="F22" s="524" t="n"/>
      <x:c r="G22" s="524" t="n"/>
      <x:c r="H22" s="524" t="n"/>
      <x:c r="I22" s="524" t="n"/>
      <x:c r="J22" s="524" t="n"/>
      <x:c r="K22" s="524" t="n"/>
    </x:row>
    <x:row r="23">
      <x:c r="A23" s="544" t="inlineStr">
        <x:is>
          <x:t xml:space="preserve">TikTok Shop</x:t>
        </x:is>
      </x:c>
      <x:c r="B23" s="545" t="inlineStr">
        <x:is>
          <x:t xml:space="preserve">Phí giao dịch hiện là 6% từ 09/05/2026; phí xử lý đơn 3.000đ/đơn từ 27/10/2025.</x:t>
        </x:is>
      </x:c>
      <x:c r="C23" s="524" t="n"/>
      <x:c r="D23" s="524" t="n"/>
      <x:c r="E23" s="524" t="n"/>
      <x:c r="F23" s="524" t="n"/>
      <x:c r="G23" s="524" t="n"/>
      <x:c r="H23" s="524" t="n"/>
      <x:c r="I23" s="524" t="n"/>
      <x:c r="J23" s="524" t="n"/>
      <x:c r="K23" s="524" t="n"/>
    </x:row>
    <x:row r="24">
      <x:c r="A24" s="544" t="inlineStr">
        <x:is>
          <x:t xml:space="preserve">TikTok Shop</x:t>
        </x:is>
      </x:c>
      <x:c r="B24" s="545" t="inlineStr">
        <x:is>
          <x:t xml:space="preserve">Phí hoa hồng thay đổi theo cấp danh mục và loại shop; nếu có mức cấp 3 cụ thể trong Seller Center, dùng ô Override trong sheet 2.</x:t>
        </x:is>
      </x:c>
      <x:c r="C24" s="524" t="n"/>
      <x:c r="D24" s="524" t="n"/>
      <x:c r="E24" s="524" t="n"/>
      <x:c r="F24" s="524" t="n"/>
      <x:c r="G24" s="524" t="n"/>
      <x:c r="H24" s="524" t="n"/>
      <x:c r="I24" s="524" t="n"/>
      <x:c r="J24" s="524" t="n"/>
      <x:c r="K24" s="524" t="n"/>
    </x:row>
    <x:row r="25">
      <x:c r="A25" s="544" t="inlineStr">
        <x:is>
          <x:t xml:space="preserve">Shopee</x:t>
        </x:is>
      </x:c>
      <x:c r="B25" s="545" t="inlineStr">
        <x:is>
          <x:t xml:space="preserve">Phí xử lý giao dịch 6% theo Điều khoản hiệu lực 01/05/2026.</x:t>
        </x:is>
      </x:c>
      <x:c r="C25" s="524" t="n"/>
      <x:c r="D25" s="524" t="n"/>
      <x:c r="E25" s="524" t="n"/>
      <x:c r="F25" s="524" t="n"/>
      <x:c r="G25" s="524" t="n"/>
      <x:c r="H25" s="524" t="n"/>
      <x:c r="I25" s="524" t="n"/>
      <x:c r="J25" s="524" t="n"/>
      <x:c r="K25" s="524" t="n"/>
    </x:row>
    <x:row r="26">
      <x:c r="A26" s="544" t="inlineStr">
        <x:is>
          <x:t xml:space="preserve">Shopee</x:t>
        </x:is>
      </x:c>
      <x:c r="B26" s="545" t="inlineStr">
        <x:is>
          <x:t xml:space="preserve">Phí cố định chi tiết trong PDF hiện hành 23/05/2026; bảng trên tập trung vào các danh mục phù hợp với sản phẩm 3D của bạn.</x:t>
        </x:is>
      </x:c>
      <x:c r="C26" s="524" t="n"/>
      <x:c r="D26" s="524" t="n"/>
      <x:c r="E26" s="524" t="n"/>
      <x:c r="F26" s="524" t="n"/>
      <x:c r="G26" s="524" t="n"/>
      <x:c r="H26" s="524" t="n"/>
      <x:c r="I26" s="524" t="n"/>
      <x:c r="J26" s="524" t="n"/>
      <x:c r="K26" s="524" t="n"/>
    </x:row>
    <x:row r="27">
      <x:c r="A27" s="544" t="inlineStr">
        <x:is>
          <x:t xml:space="preserve">Shopee</x:t>
        </x:is>
      </x:c>
      <x:c r="B27" s="545" t="inlineStr">
        <x:is>
          <x:t xml:space="preserve">Phí hạ tầng 3.000đ/đơn là nguồn phụ trợ cập nhật 2026; vì Shopee có thể thay đổi phí, hãy đối chiếu Seller Center trước khi đăng giá mới.</x:t>
        </x:is>
      </x:c>
      <x:c r="C27" s="524" t="n"/>
      <x:c r="D27" s="524" t="n"/>
      <x:c r="E27" s="524" t="n"/>
      <x:c r="F27" s="524" t="n"/>
      <x:c r="G27" s="524" t="n"/>
      <x:c r="H27" s="524" t="n"/>
      <x:c r="I27" s="524" t="n"/>
      <x:c r="J27" s="524" t="n"/>
      <x:c r="K27" s="524" t="n"/>
    </x:row>
  </x:sheetData>
  <x:mergeCells>
    <x:mergeCell ref="A22:K22"/>
    <x:mergeCell ref="B23:K23"/>
    <x:mergeCell ref="B26:K26"/>
    <x:mergeCell ref="B27:K27"/>
    <x:mergeCell ref="B25:K25"/>
    <x:mergeCell ref="B24:K24"/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14" customWidth="1"/>
    <x:col min="3" max="3" width="18" style="14" customWidth="1"/>
    <x:col min="5" max="5" width="18" style="14" customWidth="1"/>
    <x:col min="7" max="7" width="30" style="14" customWidth="1"/>
    <x:col min="9" max="9" width="52" style="14" customWidth="1"/>
  </x:cols>
  <x:sheetData>
    <x:row r="1" s="14" customFormat="1" ht="28" customHeight="1">
      <x:c r="A1" s="523" t="inlineStr">
        <x:is>
          <x:t xml:space="preserve">DANH MỤC DÙNG CHO DROPDOWN</x:t>
        </x:is>
      </x:c>
      <x:c r="B1" s="524" t="n"/>
      <x:c r="C1" s="524" t="n"/>
      <x:c r="D1" s="524" t="n"/>
      <x:c r="E1" s="524" t="n"/>
      <x:c r="F1" s="524" t="n"/>
      <x:c r="G1" s="524"/>
      <x:c r="H1" s="524"/>
      <x:c r="I1" s="524"/>
      <x:c r="J1" s="524"/>
      <x:c r="K1" s="547" t="inlineStr">
        <x:is>
          <x:t xml:space="preserve">Kênh / Nền tảng</x:t>
        </x:is>
      </x:c>
      <x:c r="L1" s="547" t="inlineStr">
        <x:is>
          <x:t xml:space="preserve">Đơn vị vận chuyển</x:t>
        </x:is>
      </x:c>
    </x:row>
    <x:row r="2" s="14" customFormat="1" ht="30" customHeight="1">
      <x:c r="A2" s="529" t="inlineStr">
        <x:is>
          <x:t xml:space="preserve">Phân loại mua vào</x:t>
        </x:is>
      </x:c>
      <x:c r="B2" s="545" t="n"/>
      <x:c r="C2" s="529" t="inlineStr">
        <x:is>
          <x:t xml:space="preserve">Loại shop</x:t>
        </x:is>
      </x:c>
      <x:c r="D2" s="545" t="n"/>
      <x:c r="E2" s="529" t="inlineStr">
        <x:is>
          <x:t xml:space="preserve">Loại nhựa</x:t>
        </x:is>
      </x:c>
      <x:c r="F2" s="545" t="n"/>
      <x:c r="G2" s="529" t="inlineStr">
        <x:is>
          <x:t xml:space="preserve">TikTok - Nhóm ngành</x:t>
        </x:is>
      </x:c>
      <x:c r="H2" s="545" t="n"/>
      <x:c r="I2" s="529" t="inlineStr">
        <x:is>
          <x:t xml:space="preserve">Shopee - Danh mục</x:t>
        </x:is>
      </x:c>
      <x:c r="J2" s="524"/>
      <x:c r="K2" s="524" t="inlineStr">
        <x:is>
          <x:t xml:space="preserve">TikTok Shop</x:t>
        </x:is>
      </x:c>
      <x:c r="L2" s="524" t="inlineStr">
        <x:is>
          <x:t xml:space="preserve">SPX</x:t>
        </x:is>
      </x:c>
    </x:row>
    <x:row r="3">
      <x:c r="A3" s="545" t="inlineStr">
        <x:is>
          <x:t xml:space="preserve">Máy in</x:t>
        </x:is>
      </x:c>
      <x:c r="B3" s="545" t="n"/>
      <x:c r="C3" s="545" t="inlineStr">
        <x:is>
          <x:t xml:space="preserve">Tiêu chuẩn</x:t>
        </x:is>
      </x:c>
      <x:c r="D3" s="545" t="n"/>
      <x:c r="E3" s="545" t="inlineStr">
        <x:is>
          <x:t xml:space="preserve">PETG</x:t>
        </x:is>
      </x:c>
      <x:c r="F3" s="545" t="n"/>
      <x:c r="G3" s="545" t="inlineStr">
        <x:is>
          <x:t xml:space="preserve">Nhà cửa &amp; Đời sống</x:t>
        </x:is>
      </x:c>
      <x:c r="H3" s="545" t="n"/>
      <x:c r="I3" s="545" t="inlineStr">
        <x:is>
          <x:t xml:space="preserve">Nhà cửa &amp; Đời sống &gt; Đèn</x:t>
        </x:is>
      </x:c>
      <x:c r="J3" s="524"/>
      <x:c r="K3" s="524" t="inlineStr">
        <x:is>
          <x:t xml:space="preserve">Shopee</x:t>
        </x:is>
      </x:c>
      <x:c r="L3" s="524" t="inlineStr">
        <x:is>
          <x:t xml:space="preserve">GHN</x:t>
        </x:is>
      </x:c>
    </x:row>
    <x:row r="4">
      <x:c r="A4" s="545" t="inlineStr">
        <x:is>
          <x:t xml:space="preserve">Nhựa in</x:t>
        </x:is>
      </x:c>
      <x:c r="B4" s="545" t="n"/>
      <x:c r="C4" s="545" t="inlineStr">
        <x:is>
          <x:t xml:space="preserve">Mall</x:t>
        </x:is>
      </x:c>
      <x:c r="D4" s="545" t="n"/>
      <x:c r="E4" s="545" t="inlineStr">
        <x:is>
          <x:t xml:space="preserve">PETG-ECO</x:t>
        </x:is>
      </x:c>
      <x:c r="F4" s="545" t="n"/>
      <x:c r="G4" s="545" t="inlineStr">
        <x:is>
          <x:t xml:space="preserve">Đồ chơi &amp; sở thích</x:t>
        </x:is>
      </x:c>
      <x:c r="H4" s="545" t="n"/>
      <x:c r="I4" s="545" t="inlineStr">
        <x:is>
          <x:t xml:space="preserve">Nhà cửa &amp; Đời sống &gt; Trang trí nhà cửa &gt; Khác</x:t>
        </x:is>
      </x:c>
      <x:c r="J4" s="524"/>
      <x:c r="K4" s="524" t="inlineStr">
        <x:is>
          <x:t xml:space="preserve">Lazada</x:t>
        </x:is>
      </x:c>
      <x:c r="L4" s="524" t="inlineStr">
        <x:is>
          <x:t xml:space="preserve">GHTK</x:t>
        </x:is>
      </x:c>
    </x:row>
    <x:row r="5">
      <x:c r="A5" s="545" t="inlineStr">
        <x:is>
          <x:t xml:space="preserve">Bàn in</x:t>
        </x:is>
      </x:c>
      <x:c r="B5" s="545" t="n"/>
      <x:c r="C5" s="545" t="n"/>
      <x:c r="D5" s="545" t="n"/>
      <x:c r="E5" s="545" t="inlineStr">
        <x:is>
          <x:t xml:space="preserve">PETG Technical</x:t>
        </x:is>
      </x:c>
      <x:c r="F5" s="545" t="n"/>
      <x:c r="G5" s="545" t="inlineStr">
        <x:is>
          <x:t xml:space="preserve">Thiết bị gia dụng</x:t>
        </x:is>
      </x:c>
      <x:c r="H5" s="545" t="n"/>
      <x:c r="I5" s="545" t="inlineStr">
        <x:is>
          <x:t xml:space="preserve">Nhà cửa &amp; Đời sống &gt; Trang trí nhà cửa &gt; Khung ảnh &amp; vật trang trí tường</x:t>
        </x:is>
      </x:c>
      <x:c r="J5" s="524"/>
      <x:c r="K5" s="524" t="inlineStr">
        <x:is>
          <x:t xml:space="preserve">Facebook</x:t>
        </x:is>
      </x:c>
      <x:c r="L5" s="524" t="inlineStr">
        <x:is>
          <x:t xml:space="preserve">J&amp;T Express</x:t>
        </x:is>
      </x:c>
    </x:row>
    <x:row r="6">
      <x:c r="A6" s="545" t="inlineStr">
        <x:is>
          <x:t xml:space="preserve">Đầu in</x:t>
        </x:is>
      </x:c>
      <x:c r="B6" s="545" t="n"/>
      <x:c r="C6" s="545" t="n"/>
      <x:c r="D6" s="545" t="n"/>
      <x:c r="E6" s="545" t="inlineStr">
        <x:is>
          <x:t xml:space="preserve">PLA</x:t>
        </x:is>
      </x:c>
      <x:c r="F6" s="545" t="n"/>
      <x:c r="G6" s="545" t="inlineStr">
        <x:is>
          <x:t xml:space="preserve">Máy tính &amp; Thiết bị Văn phòng</x:t>
        </x:is>
      </x:c>
      <x:c r="H6" s="545" t="n"/>
      <x:c r="I6" s="545" t="inlineStr">
        <x:is>
          <x:t xml:space="preserve">Nhà cửa &amp; Đời sống &gt; Sắp xếp nhà cửa &gt; Kệ sách để bàn</x:t>
        </x:is>
      </x:c>
      <x:c r="J6" s="524"/>
      <x:c r="K6" s="524" t="inlineStr">
        <x:is>
          <x:t xml:space="preserve">Zalo</x:t>
        </x:is>
      </x:c>
      <x:c r="L6" s="524" t="inlineStr">
        <x:is>
          <x:t xml:space="preserve">Viettel Post</x:t>
        </x:is>
      </x:c>
    </x:row>
    <x:row r="7">
      <x:c r="A7" s="545" t="inlineStr">
        <x:is>
          <x:t xml:space="preserve">Phụ kiện khác</x:t>
        </x:is>
      </x:c>
      <x:c r="B7" s="545" t="n"/>
      <x:c r="C7" s="545" t="n"/>
      <x:c r="D7" s="545" t="n"/>
      <x:c r="E7" s="545" t="inlineStr">
        <x:is>
          <x:t xml:space="preserve">PLA+</x:t>
        </x:is>
      </x:c>
      <x:c r="F7" s="545" t="n"/>
      <x:c r="G7" s="545" t="inlineStr">
        <x:is>
          <x:t xml:space="preserve">Điện thoại &amp; Đồ điện tử</x:t>
        </x:is>
      </x:c>
      <x:c r="H7" s="545" t="n"/>
      <x:c r="I7" s="545" t="inlineStr">
        <x:is>
          <x:t xml:space="preserve">Điện Thoại &amp; Phụ Kiện &gt; Phụ kiện &gt; Móc khóa</x:t>
        </x:is>
      </x:c>
      <x:c r="J7" s="524"/>
      <x:c r="K7" s="524" t="inlineStr">
        <x:is>
          <x:t xml:space="preserve">Website</x:t>
        </x:is>
      </x:c>
      <x:c r="L7" s="524" t="inlineStr">
        <x:is>
          <x:t xml:space="preserve">VNPost</x:t>
        </x:is>
      </x:c>
    </x:row>
    <x:row r="8">
      <x:c r="A8" s="545" t="inlineStr">
        <x:is>
          <x:t xml:space="preserve">Dụng cụ</x:t>
        </x:is>
      </x:c>
      <x:c r="B8" s="545" t="n"/>
      <x:c r="C8" s="545" t="n"/>
      <x:c r="D8" s="545" t="n"/>
      <x:c r="E8" s="545" t="inlineStr">
        <x:is>
          <x:t xml:space="preserve">ABS</x:t>
        </x:is>
      </x:c>
      <x:c r="F8" s="545" t="n"/>
      <x:c r="G8" s="545" t="inlineStr">
        <x:is>
          <x:t xml:space="preserve">Đồ nội thất</x:t>
        </x:is>
      </x:c>
      <x:c r="H8" s="545" t="n"/>
      <x:c r="I8" s="545" t="inlineStr">
        <x:is>
          <x:t xml:space="preserve">Điện Thoại &amp; Phụ Kiện &gt; Phụ kiện &gt; Kẹp điện thoại</x:t>
        </x:is>
      </x:c>
      <x:c r="J8" s="524"/>
      <x:c r="K8" s="524" t="inlineStr">
        <x:is>
          <x:t xml:space="preserve">Khác</x:t>
        </x:is>
      </x:c>
      <x:c r="L8" s="524" t="inlineStr">
        <x:is>
          <x:t xml:space="preserve">Ninja Van</x:t>
        </x:is>
      </x:c>
    </x:row>
    <x:row r="9">
      <x:c r="A9" s="545" t="inlineStr">
        <x:is>
          <x:t xml:space="preserve">Thiết bị / linh kiện</x:t>
        </x:is>
      </x:c>
      <x:c r="B9" s="545" t="n"/>
      <x:c r="C9" s="545" t="n"/>
      <x:c r="D9" s="545" t="n"/>
      <x:c r="E9" s="545" t="inlineStr">
        <x:is>
          <x:t xml:space="preserve">ASA</x:t>
        </x:is>
      </x:c>
      <x:c r="F9" s="545" t="n"/>
      <x:c r="G9" s="545" t="inlineStr">
        <x:is>
          <x:t xml:space="preserve">Đồ dùng nhà bếp</x:t>
        </x:is>
      </x:c>
      <x:c r="H9" s="545" t="n"/>
      <x:c r="I9" s="545" t="inlineStr">
        <x:is>
          <x:t xml:space="preserve">Nhà cửa &amp; Đời sống &gt; Khác</x:t>
        </x:is>
      </x:c>
      <x:c r="J9" s="524"/>
      <x:c r="K9" s="524"/>
      <x:c r="L9" s="524" t="inlineStr">
        <x:is>
          <x:t xml:space="preserve">Ahamove</x:t>
        </x:is>
      </x:c>
    </x:row>
    <x:row r="10">
      <x:c r="A10" s="545" t="n"/>
      <x:c r="B10" s="545" t="n"/>
      <x:c r="C10" s="545" t="n"/>
      <x:c r="D10" s="545" t="n"/>
      <x:c r="E10" s="545" t="inlineStr">
        <x:is>
          <x:t xml:space="preserve">TPU</x:t>
        </x:is>
      </x:c>
      <x:c r="F10" s="545" t="n"/>
      <x:c r="G10" s="545" t="inlineStr">
        <x:is>
          <x:t xml:space="preserve">Khác</x:t>
        </x:is>
      </x:c>
      <x:c r="H10" s="545" t="n"/>
      <x:c r="I10" s="545" t="n"/>
      <x:c r="J10" s="524"/>
      <x:c r="K10" s="524"/>
      <x:c r="L10" s="524" t="inlineStr">
        <x:is>
          <x:t xml:space="preserve">Grab</x:t>
        </x:is>
      </x:c>
    </x:row>
    <x:row r="11">
      <x:c r="A11" s="545" t="n"/>
      <x:c r="B11" s="545" t="n"/>
      <x:c r="C11" s="545" t="n"/>
      <x:c r="D11" s="545" t="n"/>
      <x:c r="E11" s="545" t="inlineStr">
        <x:is>
          <x:t xml:space="preserve">Khác</x:t>
        </x:is>
      </x:c>
      <x:c r="F11" s="545" t="n"/>
      <x:c r="G11" s="545" t="n"/>
      <x:c r="H11" s="545" t="n"/>
      <x:c r="I11" s="545" t="n"/>
      <x:c r="J11" s="524"/>
      <x:c r="K11" s="524"/>
      <x:c r="L11" s="524" t="inlineStr">
        <x:is>
          <x:t xml:space="preserve">Khác</x:t>
        </x:is>
      </x:c>
    </x:row>
    <x:row r="12">
      <x:c r="A12" s="545" t="n"/>
      <x:c r="B12" s="545" t="n"/>
      <x:c r="C12" s="545" t="n"/>
      <x:c r="D12" s="545" t="n"/>
      <x:c r="E12" s="545" t="n"/>
      <x:c r="F12" s="545" t="n"/>
      <x:c r="G12" s="545" t="n"/>
      <x:c r="H12" s="545" t="n"/>
      <x:c r="I12" s="545" t="n"/>
      <x:c r="J12" s="524"/>
      <x:c r="K12" s="524"/>
      <x:c r="L12" s="524" t="inlineStr">
        <x:is>
          <x:t xml:space="preserve">Tự giao</x:t>
        </x:is>
      </x:c>
    </x:row>
    <x:row r="13">
      <x:c r="A13" s="545" t="n"/>
      <x:c r="B13" s="545" t="n"/>
      <x:c r="C13" s="545" t="n"/>
      <x:c r="D13" s="545" t="n"/>
      <x:c r="E13" s="545" t="n"/>
      <x:c r="F13" s="545" t="n"/>
      <x:c r="G13" s="545" t="n"/>
      <x:c r="H13" s="545" t="n"/>
      <x:c r="I13" s="545" t="n"/>
      <x:c r="J13" s="524"/>
      <x:c r="K13" s="524"/>
      <x:c r="L13" s="524"/>
    </x:row>
    <x:row r="14">
      <x:c r="A14" s="545" t="n"/>
      <x:c r="B14" s="545" t="n"/>
      <x:c r="C14" s="545" t="n"/>
      <x:c r="D14" s="545" t="n"/>
      <x:c r="E14" s="545" t="n"/>
      <x:c r="F14" s="545" t="n"/>
      <x:c r="G14" s="545" t="n"/>
      <x:c r="H14" s="545" t="n"/>
      <x:c r="I14" s="545" t="n"/>
      <x:c r="J14" s="524"/>
      <x:c r="K14" s="524"/>
      <x:c r="L14" s="524"/>
    </x:row>
    <x:row r="15">
      <x:c r="A15" s="545" t="n"/>
      <x:c r="B15" s="545" t="n"/>
      <x:c r="C15" s="545" t="n"/>
      <x:c r="D15" s="545" t="n"/>
      <x:c r="E15" s="545" t="n"/>
      <x:c r="F15" s="545" t="n"/>
      <x:c r="G15" s="545" t="n"/>
      <x:c r="H15" s="545" t="n"/>
      <x:c r="I15" s="545" t="n"/>
      <x:c r="J15" s="524"/>
      <x:c r="K15" s="524"/>
      <x:c r="L15" s="524"/>
    </x:row>
    <x:row r="16">
      <x:c r="A16" s="545" t="n"/>
      <x:c r="B16" s="545" t="n"/>
      <x:c r="C16" s="545" t="n"/>
      <x:c r="D16" s="545" t="n"/>
      <x:c r="E16" s="545" t="n"/>
      <x:c r="F16" s="545" t="n"/>
      <x:c r="G16" s="545" t="n"/>
      <x:c r="H16" s="545" t="n"/>
      <x:c r="I16" s="545" t="n"/>
      <x:c r="J16" s="524"/>
      <x:c r="K16" s="524"/>
      <x:c r="L16" s="524"/>
    </x:row>
    <x:row r="17">
      <x:c r="A17" s="545" t="n"/>
      <x:c r="B17" s="545" t="n"/>
      <x:c r="C17" s="545" t="n"/>
      <x:c r="D17" s="545" t="n"/>
      <x:c r="E17" s="545" t="n"/>
      <x:c r="F17" s="545" t="n"/>
      <x:c r="G17" s="545" t="n"/>
      <x:c r="H17" s="545" t="n"/>
      <x:c r="I17" s="545" t="n"/>
      <x:c r="J17" s="524"/>
      <x:c r="K17" s="524"/>
      <x:c r="L17" s="524"/>
    </x:row>
    <x:row r="18">
      <x:c r="A18" s="545" t="n"/>
      <x:c r="B18" s="545" t="n"/>
      <x:c r="C18" s="545" t="n"/>
      <x:c r="D18" s="545" t="n"/>
      <x:c r="E18" s="545" t="n"/>
      <x:c r="F18" s="545" t="n"/>
      <x:c r="G18" s="545" t="n"/>
      <x:c r="H18" s="545" t="n"/>
      <x:c r="I18" s="545" t="n"/>
      <x:c r="J18" s="524"/>
      <x:c r="K18" s="524"/>
      <x:c r="L18" s="524"/>
    </x:row>
    <x:row r="19">
      <x:c r="A19" s="545" t="n"/>
      <x:c r="B19" s="545" t="n"/>
      <x:c r="C19" s="545" t="n"/>
      <x:c r="D19" s="545" t="n"/>
      <x:c r="E19" s="545" t="n"/>
      <x:c r="F19" s="545" t="n"/>
      <x:c r="G19" s="545" t="n"/>
      <x:c r="H19" s="545" t="n"/>
      <x:c r="I19" s="545" t="n"/>
      <x:c r="J19" s="524"/>
      <x:c r="K19" s="524"/>
      <x:c r="L19" s="524"/>
    </x:row>
    <x:row r="20">
      <x:c r="A20" s="545" t="n"/>
      <x:c r="B20" s="545" t="n"/>
      <x:c r="C20" s="545" t="n"/>
      <x:c r="D20" s="545" t="n"/>
      <x:c r="E20" s="545" t="n"/>
      <x:c r="F20" s="545" t="n"/>
      <x:c r="G20" s="545" t="n"/>
      <x:c r="H20" s="545" t="n"/>
      <x:c r="I20" s="545" t="n"/>
      <x:c r="J20" s="524"/>
      <x:c r="K20" s="524"/>
      <x:c r="L20" s="524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3" style="14" hidden="0" customWidth="1"/>
    <x:col min="2" max="2" width="28" style="14" hidden="0" customWidth="1"/>
    <x:col min="3" max="3" width="38" style="14" hidden="0" customWidth="1"/>
    <x:col min="4" max="4" width="28" hidden="0" customWidth="1"/>
    <x:col min="5" max="5" width="19" hidden="0" customWidth="1"/>
    <x:col min="6" max="6" width="34" hidden="0" customWidth="1"/>
  </x:cols>
  <x:sheetData>
    <x:row r="1" s="14" customFormat="1" ht="19.200000762939453" hidden="0" customHeight="1">
      <x:c r="A1" s="571" t="str">
        <x:v>HƯỚNG DẪN SỬ DỤNG 3DTR</x:v>
      </x:c>
      <x:c r="B1" s="571" t="str">
        <x:v>HƯỚNG DẪN SỬ DỤNG 3DTR</x:v>
      </x:c>
      <x:c r="C1" s="571" t="str">
        <x:v>HƯỚNG DẪN SỬ DỤNG 3DTR</x:v>
      </x:c>
      <x:c r="D1" s="571" t="str">
        <x:v>HƯỚNG DẪN SỬ DỤNG 3DTR</x:v>
      </x:c>
      <x:c r="E1" s="571" t="str">
        <x:v>HƯỚNG DẪN SỬ DỤNG 3DTR</x:v>
      </x:c>
      <x:c r="F1" s="571" t="str">
        <x:v>HƯỚNG DẪN SỬ DỤNG 3DTR</x:v>
      </x:c>
      <x:c r="G1"/>
      <x:c r="H1"/>
    </x:row>
    <x:row r="2" ht="15" hidden="0" customHeight="1">
      <x:c r="A2" s="598" t="str">
        <x:v>Excel và Google Sheets dùng cùng cấu trúc dữ liệu. Ô vàng là ô nhập; ô trắng/xám là kết quả tự tính.</x:v>
      </x:c>
      <x:c r="B2" s="598" t="str">
        <x:v>Excel và Google Sheets dùng cùng cấu trúc dữ liệu. Ô vàng là ô nhập; ô trắng/xám là kết quả tự tính.</x:v>
      </x:c>
      <x:c r="C2" s="598" t="str">
        <x:v>Excel và Google Sheets dùng cùng cấu trúc dữ liệu. Ô vàng là ô nhập; ô trắng/xám là kết quả tự tính.</x:v>
      </x:c>
      <x:c r="D2" s="598" t="str">
        <x:v>Excel và Google Sheets dùng cùng cấu trúc dữ liệu. Ô vàng là ô nhập; ô trắng/xám là kết quả tự tính.</x:v>
      </x:c>
      <x:c r="E2" s="598" t="str">
        <x:v>Excel và Google Sheets dùng cùng cấu trúc dữ liệu. Ô vàng là ô nhập; ô trắng/xám là kết quả tự tính.</x:v>
      </x:c>
      <x:c r="F2" s="598" t="str">
        <x:v>Excel và Google Sheets dùng cùng cấu trúc dữ liệu. Ô vàng là ô nhập; ô trắng/xám là kết quả tự tính.</x:v>
      </x:c>
      <x:c r="G2"/>
      <x:c r="H2"/>
    </x:row>
    <x:row r="3" s="14" customFormat="1" ht="15" hidden="0" customHeight="1">
      <x:c r="A3" s="593"/>
      <x:c r="B3" s="593"/>
      <x:c r="C3" s="593"/>
      <x:c r="D3" s="593"/>
      <x:c r="E3" s="593"/>
      <x:c r="F3" s="593"/>
      <x:c r="G3"/>
      <x:c r="H3"/>
    </x:row>
    <x:row r="4" ht="15" hidden="0" customHeight="1">
      <x:c r="A4" s="600" t="str">
        <x:v>1. QUY TRÌNH NHẬP LIỆU</x:v>
      </x:c>
      <x:c r="B4" s="600" t="str">
        <x:v>1. QUY TRÌNH NHẬP LIỆU</x:v>
      </x:c>
      <x:c r="C4" s="600" t="str">
        <x:v>1. QUY TRÌNH NHẬP LIỆU</x:v>
      </x:c>
      <x:c r="D4" s="600" t="str">
        <x:v>1. QUY TRÌNH NHẬP LIỆU</x:v>
      </x:c>
      <x:c r="E4" s="600" t="str">
        <x:v>1. QUY TRÌNH NHẬP LIỆU</x:v>
      </x:c>
      <x:c r="F4" s="600" t="str">
        <x:v>1. QUY TRÌNH NHẬP LIỆU</x:v>
      </x:c>
      <x:c r="G4"/>
      <x:c r="H4"/>
    </x:row>
    <x:row r="5" ht="15" hidden="0" customHeight="1">
      <x:c r="A5" s="604" t="str">
        <x:v>Bước</x:v>
      </x:c>
      <x:c r="B5" s="604" t="str">
        <x:v>Thao tác</x:v>
      </x:c>
      <x:c r="C5" s="604" t="str">
        <x:v>Sheet</x:v>
      </x:c>
      <x:c r="D5" s="604" t="str">
        <x:v>Ô cần nhập</x:v>
      </x:c>
      <x:c r="E5" s="604" t="str">
        <x:v>Kết quả tự động</x:v>
      </x:c>
      <x:c r="F5" s="604" t="str">
        <x:v>Lưu ý</x:v>
      </x:c>
      <x:c r="G5"/>
      <x:c r="H5"/>
    </x:row>
    <x:row r="6" ht="15" hidden="0" customHeight="1">
      <x:c r="A6" s="614" t="n">
        <x:v>1</x:v>
      </x:c>
      <x:c r="B6" s="615" t="str">
        <x:v>Cập nhật giá nhựa</x:v>
      </x:c>
      <x:c r="C6" s="615" t="str">
        <x:v>3_Nhựa</x:v>
      </x:c>
      <x:c r="D6" s="615" t="str">
        <x:v>Giá/kg, ngày, nhà cung cấp</x:v>
      </x:c>
      <x:c r="E6" s="615" t="str">
        <x:v>Cost vật liệu</x:v>
      </x:c>
      <x:c r="F6" s="616" t="str">
        <x:v>Dùng giá mua thực tế theo cuộn</x:v>
      </x:c>
      <x:c r="G6"/>
      <x:c r="H6"/>
    </x:row>
    <x:row r="7" ht="24" hidden="0" customHeight="1">
      <x:c r="A7" s="617" t="n">
        <x:v>2</x:v>
      </x:c>
      <x:c r="B7" s="618" t="str">
        <x:v>Tạo mã và cost sản phẩm</x:v>
      </x:c>
      <x:c r="C7" s="618" t="str">
        <x:v>2_Tính giá</x:v>
      </x:c>
      <x:c r="D7" s="618" t="str">
        <x:v>Mã SP, tên, loại nhựa, khối lượng và chi phí</x:v>
      </x:c>
      <x:c r="E7" s="618" t="str">
        <x:v>COST và giá tối thiểu TikTok/Shopee</x:v>
      </x:c>
      <x:c r="F7" s="619" t="str">
        <x:v>Giá làm tròn lên bội 100đ</x:v>
      </x:c>
      <x:c r="G7"/>
      <x:c r="H7"/>
    </x:row>
    <x:row r="8" ht="24" hidden="0" customHeight="1">
      <x:c r="A8" s="617" t="n">
        <x:v>3</x:v>
      </x:c>
      <x:c r="B8" s="618" t="str">
        <x:v>Lưu thông tin sản phẩm</x:v>
      </x:c>
      <x:c r="C8" s="618" t="str">
        <x:v>9_Sản phẩm</x:v>
      </x:c>
      <x:c r="D8" s="618" t="str">
        <x:v>Mã SP, mô tả, giá, link ảnh, trạng thái</x:v>
      </x:c>
      <x:c r="E8" s="618" t="str">
        <x:v>Danh mục sản phẩm dùng trên web</x:v>
      </x:c>
      <x:c r="F8" s="619" t="str">
        <x:v>Mã SP phải duy nhất</x:v>
      </x:c>
      <x:c r="G8"/>
      <x:c r="H8"/>
    </x:row>
    <x:row r="9" ht="24" hidden="0" customHeight="1">
      <x:c r="A9" s="617" t="n">
        <x:v>4</x:v>
      </x:c>
      <x:c r="B9" s="618" t="str">
        <x:v>Nhập khách hàng</x:v>
      </x:c>
      <x:c r="C9" s="618" t="str">
        <x:v>11_Khách hàng</x:v>
      </x:c>
      <x:c r="D9" s="618" t="str">
        <x:v>Mã KH, liên hệ, địa chỉ</x:v>
      </x:c>
      <x:c r="E9" s="618" t="str">
        <x:v>Tổng đơn, doanh thu, lợi nhuận</x:v>
      </x:c>
      <x:c r="F9" s="619" t="str">
        <x:v>Mã KH phải trùng trong đơn hàng</x:v>
      </x:c>
      <x:c r="G9"/>
      <x:c r="H9"/>
    </x:row>
    <x:row r="10" ht="24" hidden="0" customHeight="1">
      <x:c r="A10" s="617" t="n">
        <x:v>5</x:v>
      </x:c>
      <x:c r="B10" s="618" t="str">
        <x:v>Nhập đơn hàng</x:v>
      </x:c>
      <x:c r="C10" s="618" t="str">
        <x:v>7_Đơn hàng</x:v>
      </x:c>
      <x:c r="D10" s="618" t="str">
        <x:v>Mã đơn, ngày, kênh, Mã SP, số lượng, phí</x:v>
      </x:c>
      <x:c r="E10" s="618" t="str">
        <x:v>Doanh thu, COST, lợi nhuận</x:v>
      </x:c>
      <x:c r="F10" s="619" t="str">
        <x:v>Chỉ nhập ô dữ liệu; không sửa cột công thức</x:v>
      </x:c>
      <x:c r="G10"/>
      <x:c r="H10"/>
    </x:row>
    <x:row r="11" ht="24" hidden="0" customHeight="1">
      <x:c r="A11" s="617" t="n">
        <x:v>6</x:v>
      </x:c>
      <x:c r="B11" s="618" t="str">
        <x:v>Theo dõi kho và tiền</x:v>
      </x:c>
      <x:c r="C11" s="618" t="str">
        <x:v>8_Rút tiền / 10_Kho nhựa</x:v>
      </x:c>
      <x:c r="D11" s="618" t="str">
        <x:v>Giao dịch rút tiền và cuộn nhựa</x:v>
      </x:c>
      <x:c r="E11" s="618" t="str">
        <x:v>Tồn cuộn và đối soát tiền</x:v>
      </x:c>
      <x:c r="F11" s="619" t="str">
        <x:v>Cập nhật Đã dùng (g) thường xuyên</x:v>
      </x:c>
      <x:c r="G11"/>
      <x:c r="H11"/>
    </x:row>
    <x:row r="12" ht="15" hidden="0" customHeight="1">
      <x:c r="A12" s="620" t="n">
        <x:v>7</x:v>
      </x:c>
      <x:c r="B12" s="621" t="str">
        <x:v>Xem tổng quan</x:v>
      </x:c>
      <x:c r="C12" s="621" t="str">
        <x:v>14_Dashboard</x:v>
      </x:c>
      <x:c r="D12" s="621" t="str">
        <x:v>Không nhập</x:v>
      </x:c>
      <x:c r="E12" s="621" t="str">
        <x:v>KPI và biểu đồ</x:v>
      </x:c>
      <x:c r="F12" s="622" t="str">
        <x:v>Lọc/đối soát từ các sheet nguồn</x:v>
      </x:c>
      <x:c r="G12"/>
      <x:c r="H12"/>
    </x:row>
    <x:row r="13" ht="15" hidden="0" customHeight="1">
      <x:c r="A13" s="593"/>
      <x:c r="B13" s="593"/>
      <x:c r="C13" s="593"/>
      <x:c r="D13" s="593"/>
      <x:c r="E13" s="593"/>
      <x:c r="F13" s="593"/>
      <x:c r="G13"/>
      <x:c r="H13"/>
    </x:row>
    <x:row r="14" ht="15" hidden="0" customHeight="1">
      <x:c r="A14" s="600" t="str">
        <x:v>2. QUY ƯỚC MÀU VÀ KIỂM TRA</x:v>
      </x:c>
      <x:c r="B14" s="600" t="str">
        <x:v>2. QUY ƯỚC MÀU VÀ KIỂM TRA</x:v>
      </x:c>
      <x:c r="C14" s="600" t="str">
        <x:v>2. QUY ƯỚC MÀU VÀ KIỂM TRA</x:v>
      </x:c>
      <x:c r="D14" s="600" t="str">
        <x:v>2. QUY ƯỚC MÀU VÀ KIỂM TRA</x:v>
      </x:c>
      <x:c r="E14" s="600" t="str">
        <x:v>2. QUY ƯỚC MÀU VÀ KIỂM TRA</x:v>
      </x:c>
      <x:c r="F14" s="600" t="str">
        <x:v>2. QUY ƯỚC MÀU VÀ KIỂM TRA</x:v>
      </x:c>
      <x:c r="G14"/>
      <x:c r="H14"/>
    </x:row>
    <x:row r="15" ht="15" hidden="0" customHeight="1">
      <x:c r="A15" s="604" t="str">
        <x:v>Màu</x:v>
      </x:c>
      <x:c r="B15" s="604" t="str">
        <x:v>Ý nghĩa</x:v>
      </x:c>
      <x:c r="C15" s="604" t="str">
        <x:v>Bạn làm gì</x:v>
      </x:c>
      <x:c r="D15" s="604" t="str">
        <x:v>Ví dụ</x:v>
      </x:c>
      <x:c r="E15" s="604" t="str">
        <x:v>Trạng thái</x:v>
      </x:c>
      <x:c r="F15" s="604" t="str">
        <x:v>Gợi ý</x:v>
      </x:c>
      <x:c r="G15"/>
      <x:c r="H15"/>
    </x:row>
    <x:row r="16" ht="15" hidden="0" customHeight="1">
      <x:c r="A16" s="614" t="str">
        <x:v>Vàng nhạt</x:v>
      </x:c>
      <x:c r="B16" s="615" t="str">
        <x:v>Ô nhập liệu</x:v>
      </x:c>
      <x:c r="C16" s="615" t="str">
        <x:v>Nhập hoặc chọn dropdown</x:v>
      </x:c>
      <x:c r="D16" s="615" t="str">
        <x:v>Mã SP, khối lượng, phí thực tế</x:v>
      </x:c>
      <x:c r="E16" s="615" t="str">
        <x:v>Có thể sửa</x:v>
      </x:c>
      <x:c r="F16" s="616" t="str">
        <x:v>Không dán đè cột công thức</x:v>
      </x:c>
      <x:c r="G16"/>
      <x:c r="H16"/>
    </x:row>
    <x:row r="17" ht="15" hidden="0" customHeight="1">
      <x:c r="A17" s="617" t="str">
        <x:v>Xanh/Trắng</x:v>
      </x:c>
      <x:c r="B17" s="618" t="str">
        <x:v>Kết quả tự tính</x:v>
      </x:c>
      <x:c r="C17" s="618" t="str">
        <x:v>Chỉ kiểm tra</x:v>
      </x:c>
      <x:c r="D17" s="618" t="str">
        <x:v>COST, giá bán, lợi nhuận</x:v>
      </x:c>
      <x:c r="E17" s="618" t="str">
        <x:v>Không sửa</x:v>
      </x:c>
      <x:c r="F17" s="619" t="str">
        <x:v>Nếu trống, kiểm tra dữ liệu đầu vào</x:v>
      </x:c>
      <x:c r="G17"/>
      <x:c r="H17"/>
    </x:row>
    <x:row r="18" ht="15" hidden="0" customHeight="1">
      <x:c r="A18" s="620" t="str">
        <x:v>Đỏ nhạt</x:v>
      </x:c>
      <x:c r="B18" s="621" t="str">
        <x:v>Thiếu hoặc sai dữ liệu</x:v>
      </x:c>
      <x:c r="C18" s="621" t="str">
        <x:v>Sửa theo thông báo</x:v>
      </x:c>
      <x:c r="D18" s="621" t="str">
        <x:v>⚠ KIỂM TRA PHÍ</x:v>
      </x:c>
      <x:c r="E18" s="621" t="str">
        <x:v>Cần xử lý</x:v>
      </x:c>
      <x:c r="F18" s="622" t="str">
        <x:v>Đối chiếu Seller Center trước khi đăng giá</x:v>
      </x:c>
      <x:c r="G18"/>
      <x:c r="H18"/>
    </x:row>
    <x:row r="19" ht="15" hidden="0" customHeight="1">
      <x:c r="A19" s="593"/>
      <x:c r="B19" s="593"/>
      <x:c r="C19" s="593"/>
      <x:c r="D19" s="593"/>
      <x:c r="E19" s="593"/>
      <x:c r="F19" s="593"/>
      <x:c r="G19"/>
      <x:c r="H19"/>
    </x:row>
    <x:row r="20" ht="15" hidden="0" customHeight="1">
      <x:c r="A20" s="600" t="str">
        <x:v>3. TỪ ĐIỂN HÀM TRONG FILE</x:v>
      </x:c>
      <x:c r="B20" s="600" t="str">
        <x:v>3. TỪ ĐIỂN HÀM TRONG FILE</x:v>
      </x:c>
      <x:c r="C20" s="600" t="str">
        <x:v>3. TỪ ĐIỂN HÀM TRONG FILE</x:v>
      </x:c>
      <x:c r="D20" s="600" t="str">
        <x:v>3. TỪ ĐIỂN HÀM TRONG FILE</x:v>
      </x:c>
      <x:c r="E20" s="600" t="str">
        <x:v>3. TỪ ĐIỂN HÀM TRONG FILE</x:v>
      </x:c>
      <x:c r="F20" s="600" t="str">
        <x:v>3. TỪ ĐIỂN HÀM TRONG FILE</x:v>
      </x:c>
      <x:c r="G20"/>
      <x:c r="H20"/>
    </x:row>
    <x:row r="21" ht="15" hidden="0" customHeight="1">
      <x:c r="A21" s="604" t="str">
        <x:v>Hàm</x:v>
      </x:c>
      <x:c r="B21" s="604" t="str">
        <x:v>Chức năng</x:v>
      </x:c>
      <x:c r="C21" s="604" t="str">
        <x:v>Ví dụ dễ hiểu</x:v>
      </x:c>
      <x:c r="D21" s="604" t="str">
        <x:v>Đang dùng ở đâu</x:v>
      </x:c>
      <x:c r="E21" s="604" t="str">
        <x:v>Google Sheets</x:v>
      </x:c>
      <x:c r="F21" s="604" t="str">
        <x:v>Lưu ý</x:v>
      </x:c>
      <x:c r="G21"/>
      <x:c r="H21"/>
    </x:row>
    <x:row r="22" ht="15" hidden="0" customHeight="1">
      <x:c r="A22" s="614" t="str">
        <x:v>SUM</x:v>
      </x:c>
      <x:c r="B22" s="615" t="str">
        <x:v>Cộng một vùng số</x:v>
      </x:c>
      <x:c r="C22" s="615" t="str">
        <x:v>SUM(G12:L12)</x:v>
      </x:c>
      <x:c r="D22" s="615" t="str">
        <x:v>COST, dashboard</x:v>
      </x:c>
      <x:c r="E22" s="615" t="str">
        <x:v>Tương thích</x:v>
      </x:c>
      <x:c r="F22" s="616" t="str">
        <x:v>Không cộng trùng dòng tổng</x:v>
      </x:c>
      <x:c r="G22"/>
      <x:c r="H22"/>
    </x:row>
    <x:row r="23" ht="24" hidden="0" customHeight="1">
      <x:c r="A23" s="617" t="str">
        <x:v>SUMIF</x:v>
      </x:c>
      <x:c r="B23" s="618" t="str">
        <x:v>Cộng theo một điều kiện</x:v>
      </x:c>
      <x:c r="C23" s="618" t="str">
        <x:v>Tổng lợi nhuận theo Mã KH</x:v>
      </x:c>
      <x:c r="D23" s="618" t="str">
        <x:v>Khách hàng, dashboard</x:v>
      </x:c>
      <x:c r="E23" s="618" t="str">
        <x:v>Tương thích</x:v>
      </x:c>
      <x:c r="F23" s="619" t="str">
        <x:v>Vùng điều kiện và vùng cộng phải cùng kích thước</x:v>
      </x:c>
    </x:row>
    <x:row r="24" ht="15" hidden="0" customHeight="1">
      <x:c r="A24" s="617" t="str">
        <x:v>COUNTIF</x:v>
      </x:c>
      <x:c r="B24" s="618" t="str">
        <x:v>Đếm theo một điều kiện</x:v>
      </x:c>
      <x:c r="C24" s="618" t="str">
        <x:v>Đếm số mã đơn không trống</x:v>
      </x:c>
      <x:c r="D24" s="618" t="str">
        <x:v>Mua vào, khách hàng, dashboard</x:v>
      </x:c>
      <x:c r="E24" s="618" t="str">
        <x:v>Tương thích</x:v>
      </x:c>
      <x:c r="F24" s="619" t="str">
        <x:v>Dùng dấu * khi cần khớp tiền tố</x:v>
      </x:c>
    </x:row>
    <x:row r="25" ht="15" hidden="0" customHeight="1">
      <x:c r="A25" s="617" t="str">
        <x:v>COUNTIFS</x:v>
      </x:c>
      <x:c r="B25" s="618" t="str">
        <x:v>Đếm theo nhiều điều kiện</x:v>
      </x:c>
      <x:c r="C25" s="618" t="str">
        <x:v>Đếm cuộn có mã và tồn dưới 500g</x:v>
      </x:c>
      <x:c r="D25" s="618" t="str">
        <x:v>Dashboard</x:v>
      </x:c>
      <x:c r="E25" s="618" t="str">
        <x:v>Tương thích</x:v>
      </x:c>
      <x:c r="F25" s="619" t="str">
        <x:v>Các vùng phải cùng số dòng</x:v>
      </x:c>
    </x:row>
    <x:row r="26" ht="15" hidden="0" customHeight="1">
      <x:c r="A26" s="617" t="str">
        <x:v>IF</x:v>
      </x:c>
      <x:c r="B26" s="618" t="str">
        <x:v>Chọn kết quả đúng/sai</x:v>
      </x:c>
      <x:c r="C26" s="618" t="str">
        <x:v>Nếu thiếu mã thì để trống</x:v>
      </x:c>
      <x:c r="D26" s="618" t="str">
        <x:v>Hầu hết sheet tính</x:v>
      </x:c>
      <x:c r="E26" s="618" t="str">
        <x:v>Tương thích</x:v>
      </x:c>
      <x:c r="F26" s="619" t="str">
        <x:v>Giữ công thức ngắn và có thông báo rõ</x:v>
      </x:c>
    </x:row>
    <x:row r="27" ht="15" hidden="0" customHeight="1">
      <x:c r="A27" s="617" t="str">
        <x:v>AND</x:v>
      </x:c>
      <x:c r="B27" s="618" t="str">
        <x:v>Tất cả điều kiện đều đúng</x:v>
      </x:c>
      <x:c r="C27" s="618" t="str">
        <x:v>Phụ kiện khác và chưa nhập tên</x:v>
      </x:c>
      <x:c r="D27" s="618" t="str">
        <x:v>Mua vào</x:v>
      </x:c>
      <x:c r="E27" s="618" t="str">
        <x:v>Tương thích</x:v>
      </x:c>
      <x:c r="F27" s="619" t="str">
        <x:v>Thường đặt trong IF</x:v>
      </x:c>
    </x:row>
    <x:row r="28" ht="15" hidden="0" customHeight="1">
      <x:c r="A28" s="617" t="str">
        <x:v>OR</x:v>
      </x:c>
      <x:c r="B28" s="618" t="str">
        <x:v>Chỉ cần một điều kiện đúng</x:v>
      </x:c>
      <x:c r="C28" s="618" t="str">
        <x:v>Thiếu số lượng hoặc đơn giá</x:v>
      </x:c>
      <x:c r="D28" s="618" t="str">
        <x:v>Mua vào, tính giá</x:v>
      </x:c>
      <x:c r="E28" s="618" t="str">
        <x:v>Tương thích</x:v>
      </x:c>
      <x:c r="F28" s="619" t="str">
        <x:v>Dùng để chặn kết quả giả</x:v>
      </x:c>
    </x:row>
    <x:row r="29" ht="15" hidden="0" customHeight="1">
      <x:c r="A29" s="617" t="str">
        <x:v>IFERROR</x:v>
      </x:c>
      <x:c r="B29" s="618" t="str">
        <x:v>Xử lý lỗi đã biết</x:v>
      </x:c>
      <x:c r="C29" s="618" t="str">
        <x:v>Không tìm thấy mã thì để trống</x:v>
      </x:c>
      <x:c r="D29" s="618" t="str">
        <x:v>Tra cứu và tính toán</x:v>
      </x:c>
      <x:c r="E29" s="618" t="str">
        <x:v>Tương thích</x:v>
      </x:c>
      <x:c r="F29" s="619" t="str">
        <x:v>Không dùng để che lỗi cấu trúc</x:v>
      </x:c>
    </x:row>
    <x:row r="30" ht="15" hidden="0" customHeight="1">
      <x:c r="A30" s="617" t="str">
        <x:v>VLOOKUP</x:v>
      </x:c>
      <x:c r="B30" s="618" t="str">
        <x:v>Tra cứu theo khóa ở cột đầu</x:v>
      </x:c>
      <x:c r="C30" s="618" t="str">
        <x:v>Tra giá nhựa theo loại</x:v>
      </x:c>
      <x:c r="D30" s="618" t="str">
        <x:v>Tính giá, đơn hàng</x:v>
      </x:c>
      <x:c r="E30" s="618" t="str">
        <x:v>Tương thích</x:v>
      </x:c>
      <x:c r="F30" s="619" t="str">
        <x:v>FALSE nghĩa là khớp chính xác</x:v>
      </x:c>
    </x:row>
    <x:row r="31" ht="15" hidden="0" customHeight="1">
      <x:c r="A31" s="620" t="str">
        <x:v>CEILING</x:v>
      </x:c>
      <x:c r="B31" s="621" t="str">
        <x:v>Làm tròn lên theo bội số</x:v>
      </x:c>
      <x:c r="C31" s="621" t="str">
        <x:v>Làm tròn giá lên bội 100đ</x:v>
      </x:c>
      <x:c r="D31" s="621" t="str">
        <x:v>Tính giá</x:v>
      </x:c>
      <x:c r="E31" s="621" t="str">
        <x:v>Tương thích</x:v>
      </x:c>
      <x:c r="F31" s="622" t="str">
        <x:v>Bội số nằm ở ô D5</x:v>
      </x:c>
    </x:row>
    <x:row r="32" ht="15" hidden="0" customHeight="1">
      <x:c r="A32" s="593"/>
      <x:c r="B32" s="593"/>
      <x:c r="C32" s="593"/>
      <x:c r="D32" s="593"/>
      <x:c r="E32" s="593"/>
      <x:c r="F32" s="593"/>
    </x:row>
    <x:row r="33" ht="15" hidden="0" customHeight="1">
      <x:c r="A33" s="600" t="str">
        <x:v>4. GOOGLE SHEETS VÀ WEB NHẬP LIỆU</x:v>
      </x:c>
      <x:c r="B33" s="600" t="str">
        <x:v>4. GOOGLE SHEETS VÀ WEB NHẬP LIỆU</x:v>
      </x:c>
      <x:c r="C33" s="600" t="str">
        <x:v>4. GOOGLE SHEETS VÀ WEB NHẬP LIỆU</x:v>
      </x:c>
      <x:c r="D33" s="600" t="str">
        <x:v>4. GOOGLE SHEETS VÀ WEB NHẬP LIỆU</x:v>
      </x:c>
      <x:c r="E33" s="600" t="str">
        <x:v>4. GOOGLE SHEETS VÀ WEB NHẬP LIỆU</x:v>
      </x:c>
      <x:c r="F33" s="600" t="str">
        <x:v>4. GOOGLE SHEETS VÀ WEB NHẬP LIỆU</x:v>
      </x:c>
    </x:row>
    <x:row r="34" ht="15" hidden="0" customHeight="1">
      <x:c r="A34" s="604" t="str">
        <x:v>Bước</x:v>
      </x:c>
      <x:c r="B34" s="604" t="str">
        <x:v>Thiết lập</x:v>
      </x:c>
      <x:c r="C34" s="604" t="str">
        <x:v>Thực hiện</x:v>
      </x:c>
      <x:c r="D34" s="604" t="str">
        <x:v>Kết quả</x:v>
      </x:c>
      <x:c r="E34" s="604" t="str">
        <x:v>Ai làm</x:v>
      </x:c>
      <x:c r="F34" s="604" t="str">
        <x:v>Lưu ý bảo mật</x:v>
      </x:c>
    </x:row>
    <x:row r="35" ht="24" hidden="0" customHeight="1">
      <x:c r="A35" s="614" t="n">
        <x:v>1</x:v>
      </x:c>
      <x:c r="B35" s="615" t="str">
        <x:v>Nhập file lên Google Drive</x:v>
      </x:c>
      <x:c r="C35" s="615" t="str">
        <x:v>Mở bằng Google Sheets và lưu dạng Google Sheets</x:v>
      </x:c>
      <x:c r="D35" s="615" t="str">
        <x:v>Giữ công thức, dropdown và định dạng</x:v>
      </x:c>
      <x:c r="E35" s="615" t="str">
        <x:v>Chủ file</x:v>
      </x:c>
      <x:c r="F35" s="616" t="str">
        <x:v>Kiểm tra lại biểu đồ sau khi nhập</x:v>
      </x:c>
    </x:row>
    <x:row r="36" ht="24" hidden="0" customHeight="1">
      <x:c r="A36" s="617" t="n">
        <x:v>2</x:v>
      </x:c>
      <x:c r="B36" s="618" t="str">
        <x:v>Chia sẻ file</x:v>
      </x:c>
      <x:c r="C36" s="618" t="str">
        <x:v>Cấp Viewer hoặc Editor cho từng email</x:v>
      </x:c>
      <x:c r="D36" s="618" t="str">
        <x:v>Web đọc đúng vai trò</x:v>
      </x:c>
      <x:c r="E36" s="618" t="str">
        <x:v>Chủ file</x:v>
      </x:c>
      <x:c r="F36" s="619" t="str">
        <x:v>Không bật Anyone with the link nếu dữ liệu riêng tư</x:v>
      </x:c>
    </x:row>
    <x:row r="37" ht="24" hidden="0" customHeight="1">
      <x:c r="A37" s="617" t="n">
        <x:v>3</x:v>
      </x:c>
      <x:c r="B37" s="618" t="str">
        <x:v>Tạo Apps Script</x:v>
      </x:c>
      <x:c r="C37" s="618" t="str">
        <x:v>Dán Code.gs trong thư mục apps-script của repository</x:v>
      </x:c>
      <x:c r="D37" s="618" t="str">
        <x:v>API đọc/ghi sheet</x:v>
      </x:c>
      <x:c r="E37" s="618" t="str">
        <x:v>Chủ file</x:v>
      </x:c>
      <x:c r="F37" s="619" t="str">
        <x:v>Script chạy bằng tài khoản chủ file</x:v>
      </x:c>
    </x:row>
    <x:row r="38" ht="15" hidden="0" customHeight="1">
      <x:c r="A38" s="617" t="n">
        <x:v>4</x:v>
      </x:c>
      <x:c r="B38" s="618" t="str">
        <x:v>Cấu hình Script Properties</x:v>
      </x:c>
      <x:c r="C38" s="618" t="str">
        <x:v>Đặt SPREADSHEET_ID và GOOGLE_CLIENT_ID</x:v>
      </x:c>
      <x:c r="D38" s="618" t="str">
        <x:v>API xác thực đúng file và ứng dụng</x:v>
      </x:c>
      <x:c r="E38" s="618" t="str">
        <x:v>Chủ file</x:v>
      </x:c>
      <x:c r="F38" s="619" t="str">
        <x:v>Không đưa secret lên GitHub</x:v>
      </x:c>
    </x:row>
    <x:row r="39" ht="15" hidden="0" customHeight="1">
      <x:c r="A39" s="617" t="n">
        <x:v>5</x:v>
      </x:c>
      <x:c r="B39" s="618" t="str">
        <x:v>Triển khai Web app</x:v>
      </x:c>
      <x:c r="C39" s="618" t="str">
        <x:v>Execute as Me; access Anyone</x:v>
      </x:c>
      <x:c r="D39" s="618" t="str">
        <x:v>Frontend gọi API</x:v>
      </x:c>
      <x:c r="E39" s="618" t="str">
        <x:v>Chủ file</x:v>
      </x:c>
      <x:c r="F39" s="619" t="str">
        <x:v>API tự kiểm tra token và quyền trên file</x:v>
      </x:c>
    </x:row>
    <x:row r="40" ht="15" hidden="0" customHeight="1">
      <x:c r="A40" s="617" t="n">
        <x:v>6</x:v>
      </x:c>
      <x:c r="B40" s="618" t="str">
        <x:v>Cấu hình GitHub Pages</x:v>
      </x:c>
      <x:c r="C40" s="618" t="str">
        <x:v>Điền clientId và apiUrl trong config.js</x:v>
      </x:c>
      <x:c r="D40" s="618" t="str">
        <x:v>Đăng nhập Google hoạt động</x:v>
      </x:c>
      <x:c r="E40" s="618" t="str">
        <x:v>Chủ repository</x:v>
      </x:c>
      <x:c r="F40" s="619" t="str">
        <x:v>OAuth Client ID không phải client secret</x:v>
      </x:c>
    </x:row>
    <x:row r="41" ht="15" hidden="0" customHeight="1">
      <x:c r="A41" s="620" t="n">
        <x:v>7</x:v>
      </x:c>
      <x:c r="B41" s="621" t="str">
        <x:v>Quyền sử dụng</x:v>
      </x:c>
      <x:c r="C41" s="621" t="str">
        <x:v>Editor được thêm dữ liệu; Viewer chỉ xem</x:v>
      </x:c>
      <x:c r="D41" s="621" t="str">
        <x:v>Đúng yêu cầu phân quyền</x:v>
      </x:c>
      <x:c r="E41" s="621" t="str">
        <x:v>Tất cả người dùng</x:v>
      </x:c>
      <x:c r="F41" s="622" t="str">
        <x:v>Không dựa vào việc ẩn nút ở giao diện</x:v>
      </x:c>
    </x:row>
    <x:row r="42" ht="15" hidden="0" customHeight="1">
      <x:c r="A42" s="593"/>
      <x:c r="B42" s="593"/>
      <x:c r="C42" s="593"/>
      <x:c r="D42" s="593"/>
      <x:c r="E42" s="593"/>
      <x:c r="F42" s="593"/>
    </x:row>
    <x:row r="43" ht="15" hidden="0" customHeight="1">
      <x:c r="A43" s="600" t="str">
        <x:v>5. NGUỒN PHÍ THAM CHIẾU</x:v>
      </x:c>
      <x:c r="B43" s="600" t="str">
        <x:v>5. NGUỒN PHÍ THAM CHIẾU</x:v>
      </x:c>
      <x:c r="C43" s="600" t="str">
        <x:v>5. NGUỒN PHÍ THAM CHIẾU</x:v>
      </x:c>
      <x:c r="D43" s="600" t="str">
        <x:v>5. NGUỒN PHÍ THAM CHIẾU</x:v>
      </x:c>
      <x:c r="E43" s="600" t="str">
        <x:v>5. NGUỒN PHÍ THAM CHIẾU</x:v>
      </x:c>
      <x:c r="F43" s="600" t="str">
        <x:v>5. NGUỒN PHÍ THAM CHIẾU</x:v>
      </x:c>
    </x:row>
    <x:row r="44" ht="15" hidden="0" customHeight="1">
      <x:c r="A44" s="604" t="str">
        <x:v>Nền tảng</x:v>
      </x:c>
      <x:c r="B44" s="604" t="str">
        <x:v>Nội dung</x:v>
      </x:c>
      <x:c r="C44" s="604" t="str">
        <x:v>URL</x:v>
      </x:c>
      <x:c r="D44" s="604" t="str">
        <x:v>Ngày hiệu lực</x:v>
      </x:c>
      <x:c r="E44" s="604" t="str">
        <x:v>Đã đối chiếu</x:v>
      </x:c>
      <x:c r="F44" s="604" t="str">
        <x:v>Ghi chú</x:v>
      </x:c>
    </x:row>
    <x:row r="45" ht="24" hidden="0" customHeight="1">
      <x:c r="A45" s="614" t="str">
        <x:v>TikTok Shop</x:v>
      </x:c>
      <x:c r="B45" s="615" t="str">
        <x:v>Tổng quan phí nhà bán</x:v>
      </x:c>
      <x:c r="C45" s="615" t="str">
        <x:v>https://seller-vn.tiktok.com/university/essay?knowledge_id=8858869405370113</x:v>
      </x:c>
      <x:c r="D45" s="615" t="str">
        <x:v>2026</x:v>
      </x:c>
      <x:c r="E45" s="615" t="str">
        <x:v>20/09/2026</x:v>
      </x:c>
      <x:c r="F45" s="616" t="str">
        <x:v>Phí thực tế có thể thay đổi theo chương trình</x:v>
      </x:c>
    </x:row>
    <x:row r="46" ht="24" hidden="0" customHeight="1">
      <x:c r="A46" s="617" t="str">
        <x:v>TikTok Shop</x:v>
      </x:c>
      <x:c r="B46" s="618" t="str">
        <x:v>Phí giao dịch</x:v>
      </x:c>
      <x:c r="C46" s="618" t="str">
        <x:v>https://seller-vn.tiktok.com/university/essay?knowledge_id=753295858337537</x:v>
      </x:c>
      <x:c r="D46" s="618" t="str">
        <x:v>09/05/2026</x:v>
      </x:c>
      <x:c r="E46" s="618" t="str">
        <x:v>20/09/2026</x:v>
      </x:c>
      <x:c r="F46" s="619" t="str">
        <x:v>Mức chuẩn 6%; có chương trình giảm phí</x:v>
      </x:c>
    </x:row>
    <x:row r="47" ht="24" hidden="0" customHeight="1">
      <x:c r="A47" s="617" t="str">
        <x:v>TikTok Shop</x:v>
      </x:c>
      <x:c r="B47" s="618" t="str">
        <x:v>Phí hoa hồng nền tảng</x:v>
      </x:c>
      <x:c r="C47" s="618" t="str">
        <x:v>https://seller-vn.tiktok.com/university/essay?knowledge_id=3396736626312961</x:v>
      </x:c>
      <x:c r="D47" s="618" t="str">
        <x:v>03/07/2026</x:v>
      </x:c>
      <x:c r="E47" s="618" t="str">
        <x:v>20/09/2026</x:v>
      </x:c>
      <x:c r="F47" s="619" t="str">
        <x:v>Tra đúng danh mục cấp 3 trong Seller Center</x:v>
      </x:c>
    </x:row>
    <x:row r="48" ht="24" hidden="0" customHeight="1">
      <x:c r="A48" s="620" t="str">
        <x:v>Shopee</x:v>
      </x:c>
      <x:c r="B48" s="621" t="str">
        <x:v>PDF phí cố định non-Mall</x:v>
      </x:c>
      <x:c r="C48" s="621" t="str">
        <x:v>https://mms.file.susercontent.com/api/v4/11195002/mms/vn-11195002-bmlg5-mo82qh7ujsau29</x:v>
      </x:c>
      <x:c r="D48" s="621" t="str">
        <x:v>23/05/2026</x:v>
      </x:c>
      <x:c r="E48" s="621" t="str">
        <x:v>20/09/2026</x:v>
      </x:c>
      <x:c r="F48" s="622" t="str">
        <x:v>Mức theo ngành hàng; đối chiếu Seller Center</x:v>
      </x:c>
    </x:row>
  </x:sheetData>
  <x:mergeCells>
    <x:mergeCell ref="A1:F1"/>
    <x:mergeCell ref="A2:F2"/>
    <x:mergeCell ref="A4:F4"/>
    <x:mergeCell ref="A14:F14"/>
    <x:mergeCell ref="A20:F20"/>
    <x:mergeCell ref="A33:F33"/>
    <x:mergeCell ref="A43:F4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9.130000114440918" style="14" customWidth="1"/>
    <x:col min="2" max="2" width="10.5" style="14" customWidth="1"/>
    <x:col min="3" max="3" width="10.25" style="14" customWidth="1"/>
    <x:col min="4" max="4" width="13.5" style="14" customWidth="1"/>
    <x:col min="5" max="5" width="7.880000114440918" style="14" customWidth="1"/>
    <x:col min="6" max="6" width="28" style="14" customWidth="1"/>
    <x:col min="7" max="7" width="8.130000114440918" style="14" customWidth="1"/>
    <x:col min="8" max="8" width="10" style="14" customWidth="1"/>
    <x:col min="9" max="9" width="17.1299991607666" style="14" customWidth="1"/>
    <x:col min="10" max="10" width="15.880000114440918" style="14" customWidth="1"/>
    <x:col min="11" max="11" width="11.130000114440918" style="14" customWidth="1"/>
    <x:col min="12" max="12" width="20.8799991607666" style="14" customWidth="1"/>
    <x:col min="13" max="13" width="16.3799991607666" style="14" customWidth="1"/>
    <x:col min="14" max="14" width="15.880000114440918" style="14" customWidth="1"/>
    <x:col min="15" max="15" width="18" style="14" customWidth="1"/>
    <x:col min="16" max="16" width="12.25" style="14" customWidth="1"/>
    <x:col min="17" max="17" width="14.630000114440918" style="14" customWidth="1"/>
    <x:col min="18" max="18" width="13.630000114440918" style="14" customWidth="1"/>
    <x:col min="19" max="19" width="25.5" style="14" customWidth="1"/>
    <x:col min="20" max="20" width="17.1299991607666" style="14" customWidth="1"/>
    <x:col min="21" max="21" width="14.25" style="14" customWidth="1"/>
    <x:col min="22" max="22" width="28" style="14" customWidth="1"/>
  </x:cols>
  <x:sheetData>
    <x:row r="1" s="14" customFormat="1" ht="28" customHeight="1">
      <x:c r="A1" s="548" t="inlineStr">
        <x:is>
          <x:t xml:space="preserve">SỔ ĐƠN HÀNG &amp; LỢI NHUẬN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  <x:c r="L1" s="524" t="n"/>
      <x:c r="M1" s="524" t="n"/>
      <x:c r="N1" s="524" t="n"/>
      <x:c r="O1" s="524" t="n"/>
      <x:c r="P1" s="524" t="n"/>
      <x:c r="Q1" s="524" t="n"/>
      <x:c r="R1" s="524" t="n"/>
      <x:c r="S1" s="524" t="n"/>
      <x:c r="T1" s="524" t="n"/>
      <x:c r="U1" s="524" t="n"/>
      <x:c r="V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  <x:c r="K2" s="524"/>
      <x:c r="L2" s="524"/>
      <x:c r="M2" s="524"/>
      <x:c r="N2" s="524"/>
      <x:c r="O2" s="524"/>
      <x:c r="P2" s="524"/>
      <x:c r="Q2" s="524"/>
      <x:c r="R2" s="524"/>
      <x:c r="S2" s="524"/>
      <x:c r="T2" s="524"/>
      <x:c r="U2" s="524"/>
      <x:c r="V2" s="524"/>
    </x:row>
    <x:row r="3" s="14" customFormat="1" ht="32" customHeight="1">
      <x:c r="A3" s="547" t="inlineStr">
        <x:is>
          <x:t xml:space="preserve">Mã đơn</x:t>
        </x:is>
      </x:c>
      <x:c r="B3" s="547" t="inlineStr">
        <x:is>
          <x:t xml:space="preserve">Ngày đơn</x:t>
        </x:is>
      </x:c>
      <x:c r="C3" s="547" t="inlineStr">
        <x:is>
          <x:t xml:space="preserve">Kênh bán</x:t>
        </x:is>
      </x:c>
      <x:c r="D3" s="547" t="inlineStr">
        <x:is>
          <x:t xml:space="preserve">Sàn/Nền tảng</x:t>
        </x:is>
      </x:c>
      <x:c r="E3" s="547" t="inlineStr">
        <x:is>
          <x:t xml:space="preserve">Mã SP</x:t>
        </x:is>
      </x:c>
      <x:c r="F3" s="547" t="inlineStr">
        <x:is>
          <x:t xml:space="preserve">Tên sản phẩm</x:t>
        </x:is>
      </x:c>
      <x:c r="G3" s="547" t="inlineStr">
        <x:is>
          <x:t xml:space="preserve">Mã KH</x:t>
        </x:is>
      </x:c>
      <x:c r="H3" s="547" t="inlineStr">
        <x:is>
          <x:t xml:space="preserve">Số lượng</x:t>
        </x:is>
      </x:c>
      <x:c r="I3" s="547" t="inlineStr">
        <x:is>
          <x:t xml:space="preserve">Giá bán/đơn vị (đ)</x:t>
        </x:is>
      </x:c>
      <x:c r="J3" s="547" t="inlineStr">
        <x:is>
          <x:t xml:space="preserve">Doanh thu SP (đ)</x:t>
        </x:is>
      </x:c>
      <x:c r="K3" s="547" t="inlineStr">
        <x:is>
          <x:t xml:space="preserve">Phí sàn (đ)</x:t>
        </x:is>
      </x:c>
      <x:c r="L3" s="547" t="inlineStr">
        <x:is>
          <x:t xml:space="preserve">Phí thanh toán khác (đ)</x:t>
        </x:is>
      </x:c>
      <x:c r="M3" s="547" t="inlineStr">
        <x:is>
          <x:t xml:space="preserve">Ship khách trả (đ)</x:t>
        </x:is>
      </x:c>
      <x:c r="N3" s="547" t="inlineStr">
        <x:is>
          <x:t xml:space="preserve">Ship mình trả (đ)</x:t>
        </x:is>
      </x:c>
      <x:c r="O3" s="547" t="inlineStr">
        <x:is>
          <x:t xml:space="preserve">Đơn vị vận chuyển</x:t>
        </x:is>
      </x:c>
      <x:c r="P3" s="547" t="inlineStr">
        <x:is>
          <x:t xml:space="preserve">Mã vận đơn</x:t>
        </x:is>
      </x:c>
      <x:c r="Q3" s="547" t="inlineStr">
        <x:is>
          <x:t xml:space="preserve">Cost/đơn vị (đ)</x:t>
        </x:is>
      </x:c>
      <x:c r="R3" s="547" t="inlineStr">
        <x:is>
          <x:t xml:space="preserve">Tổng COST (đ)</x:t>
        </x:is>
      </x:c>
      <x:c r="S3" s="547" t="inlineStr">
        <x:is>
          <x:t xml:space="preserve">Tiền thực nhận trước ship (đ)</x:t>
        </x:is>
      </x:c>
      <x:c r="T3" s="547" t="inlineStr">
        <x:is>
          <x:t xml:space="preserve">Lợi nhuận ròng (đ)</x:t>
        </x:is>
      </x:c>
      <x:c r="U3" s="547" t="inlineStr">
        <x:is>
          <x:t xml:space="preserve">Trạng thái đơn</x:t>
        </x:is>
      </x:c>
      <x:c r="V3" s="547" t="inlineStr">
        <x:is>
          <x:t xml:space="preserve">Ghi chú</x:t>
        </x:is>
      </x:c>
    </x:row>
    <x:row r="4">
      <x:c r="A4" s="545" t="n"/>
      <x:c r="B4" s="549" t="n"/>
      <x:c r="C4" s="545" t="n"/>
      <x:c r="D4" s="545" t="n"/>
      <x:c r="E4" s="545" t="n"/>
      <x:c r="F4" s="545" t="n"/>
      <x:c r="G4" s="545" t="n"/>
      <x:c r="H4" s="545" t="n"/>
      <x:c r="I4" s="550" t="n"/>
      <x:c r="J4" s="550" t="str">
        <x:f>IF(A4="","",IFERROR(H4*I4,""))</x:f>
      </x:c>
      <x:c r="K4" s="550" t="n"/>
      <x:c r="L4" s="550" t="n"/>
      <x:c r="M4" s="550" t="n"/>
      <x:c r="N4" s="550" t="n"/>
      <x:c r="O4" s="545" t="n"/>
      <x:c r="P4" s="545" t="n"/>
      <x:c r="Q4" s="550" t="str">
        <x:f>IF(E4="","",IFERROR(VLOOKUP(E4,'2_Tính giá'!$A$12:$M$51,13,FALSE),""))</x:f>
      </x:c>
      <x:c r="R4" s="550" t="str">
        <x:f>IF(OR(A4="",H4="",Q4=""),"",H4*Q4)</x:f>
      </x:c>
      <x:c r="S4" s="550" t="str">
        <x:f>IF(A4="","",J4+M4-K4-L4)</x:f>
      </x:c>
      <x:c r="T4" s="550" t="str">
        <x:f>IF(A4="","",J4+M4-K4-L4-N4-R4)</x:f>
      </x:c>
      <x:c r="U4" s="545" t="n"/>
      <x:c r="V4" s="545" t="n"/>
    </x:row>
    <x:row r="5">
      <x:c r="A5" s="545" t="n"/>
      <x:c r="B5" s="549" t="n"/>
      <x:c r="C5" s="545" t="n"/>
      <x:c r="D5" s="545" t="n"/>
      <x:c r="E5" s="545" t="n"/>
      <x:c r="F5" s="545" t="n"/>
      <x:c r="G5" s="545" t="n"/>
      <x:c r="H5" s="545" t="n"/>
      <x:c r="I5" s="550" t="n"/>
      <x:c r="J5" s="550" t="str">
        <x:f>IF(A5="","",IFERROR(H5*I5,""))</x:f>
      </x:c>
      <x:c r="K5" s="550" t="n"/>
      <x:c r="L5" s="550" t="n"/>
      <x:c r="M5" s="550" t="n"/>
      <x:c r="N5" s="550" t="n"/>
      <x:c r="O5" s="545" t="n"/>
      <x:c r="P5" s="545" t="n"/>
      <x:c r="Q5" s="550" t="str">
        <x:f>IF(E5="","",IFERROR(VLOOKUP(E5,'2_Tính giá'!$A$12:$M$51,13,FALSE),""))</x:f>
      </x:c>
      <x:c r="R5" s="550" t="str">
        <x:f>IF(OR(A5="",H5="",Q5=""),"",H5*Q5)</x:f>
      </x:c>
      <x:c r="S5" s="550" t="str">
        <x:f>IF(A5="","",J5+M5-K5-L5)</x:f>
      </x:c>
      <x:c r="T5" s="550" t="str">
        <x:f>IF(A5="","",J5+M5-K5-L5-N5-R5)</x:f>
      </x:c>
      <x:c r="U5" s="545" t="n"/>
      <x:c r="V5" s="545" t="n"/>
    </x:row>
    <x:row r="6">
      <x:c r="A6" s="545" t="n"/>
      <x:c r="B6" s="549" t="n"/>
      <x:c r="C6" s="545" t="n"/>
      <x:c r="D6" s="545" t="n"/>
      <x:c r="E6" s="545" t="n"/>
      <x:c r="F6" s="545" t="n"/>
      <x:c r="G6" s="545" t="n"/>
      <x:c r="H6" s="545" t="n"/>
      <x:c r="I6" s="550" t="n"/>
      <x:c r="J6" s="550" t="str">
        <x:f>IF(A6="","",IFERROR(H6*I6,""))</x:f>
      </x:c>
      <x:c r="K6" s="550" t="n"/>
      <x:c r="L6" s="550" t="n"/>
      <x:c r="M6" s="550" t="n"/>
      <x:c r="N6" s="550" t="n"/>
      <x:c r="O6" s="545" t="n"/>
      <x:c r="P6" s="545" t="n"/>
      <x:c r="Q6" s="550" t="str">
        <x:f>IF(E6="","",IFERROR(VLOOKUP(E6,'2_Tính giá'!$A$12:$M$51,13,FALSE),""))</x:f>
      </x:c>
      <x:c r="R6" s="550" t="str">
        <x:f>IF(OR(A6="",H6="",Q6=""),"",H6*Q6)</x:f>
      </x:c>
      <x:c r="S6" s="550" t="str">
        <x:f>IF(A6="","",J6+M6-K6-L6)</x:f>
      </x:c>
      <x:c r="T6" s="550" t="str">
        <x:f>IF(A6="","",J6+M6-K6-L6-N6-R6)</x:f>
      </x:c>
      <x:c r="U6" s="545" t="n"/>
      <x:c r="V6" s="545" t="n"/>
    </x:row>
    <x:row r="7">
      <x:c r="A7" s="545" t="n"/>
      <x:c r="B7" s="549" t="n"/>
      <x:c r="C7" s="545" t="n"/>
      <x:c r="D7" s="545" t="n"/>
      <x:c r="E7" s="545" t="n"/>
      <x:c r="F7" s="545" t="n"/>
      <x:c r="G7" s="545" t="n"/>
      <x:c r="H7" s="545" t="n"/>
      <x:c r="I7" s="550" t="n"/>
      <x:c r="J7" s="550" t="str">
        <x:f>IF(A7="","",IFERROR(H7*I7,""))</x:f>
      </x:c>
      <x:c r="K7" s="550" t="n"/>
      <x:c r="L7" s="550" t="n"/>
      <x:c r="M7" s="550" t="n"/>
      <x:c r="N7" s="550" t="n"/>
      <x:c r="O7" s="545" t="n"/>
      <x:c r="P7" s="545" t="n"/>
      <x:c r="Q7" s="550" t="str">
        <x:f>IF(E7="","",IFERROR(VLOOKUP(E7,'2_Tính giá'!$A$12:$M$51,13,FALSE),""))</x:f>
      </x:c>
      <x:c r="R7" s="550" t="str">
        <x:f>IF(OR(A7="",H7="",Q7=""),"",H7*Q7)</x:f>
      </x:c>
      <x:c r="S7" s="550" t="str">
        <x:f>IF(A7="","",J7+M7-K7-L7)</x:f>
      </x:c>
      <x:c r="T7" s="550" t="str">
        <x:f>IF(A7="","",J7+M7-K7-L7-N7-R7)</x:f>
      </x:c>
      <x:c r="U7" s="545" t="n"/>
      <x:c r="V7" s="545" t="n"/>
    </x:row>
    <x:row r="8">
      <x:c r="A8" s="545" t="n"/>
      <x:c r="B8" s="549" t="n"/>
      <x:c r="C8" s="545" t="n"/>
      <x:c r="D8" s="545" t="n"/>
      <x:c r="E8" s="545" t="n"/>
      <x:c r="F8" s="545" t="n"/>
      <x:c r="G8" s="545" t="n"/>
      <x:c r="H8" s="545" t="n"/>
      <x:c r="I8" s="550" t="n"/>
      <x:c r="J8" s="550" t="str">
        <x:f>IF(A8="","",IFERROR(H8*I8,""))</x:f>
      </x:c>
      <x:c r="K8" s="550" t="n"/>
      <x:c r="L8" s="550" t="n"/>
      <x:c r="M8" s="550" t="n"/>
      <x:c r="N8" s="550" t="n"/>
      <x:c r="O8" s="545" t="n"/>
      <x:c r="P8" s="545" t="n"/>
      <x:c r="Q8" s="550" t="str">
        <x:f>IF(E8="","",IFERROR(VLOOKUP(E8,'2_Tính giá'!$A$12:$M$51,13,FALSE),""))</x:f>
      </x:c>
      <x:c r="R8" s="550" t="str">
        <x:f>IF(OR(A8="",H8="",Q8=""),"",H8*Q8)</x:f>
      </x:c>
      <x:c r="S8" s="550" t="str">
        <x:f>IF(A8="","",J8+M8-K8-L8)</x:f>
      </x:c>
      <x:c r="T8" s="550" t="str">
        <x:f>IF(A8="","",J8+M8-K8-L8-N8-R8)</x:f>
      </x:c>
      <x:c r="U8" s="545" t="n"/>
      <x:c r="V8" s="545" t="n"/>
    </x:row>
    <x:row r="9">
      <x:c r="A9" s="545" t="n"/>
      <x:c r="B9" s="549" t="n"/>
      <x:c r="C9" s="545" t="n"/>
      <x:c r="D9" s="545" t="n"/>
      <x:c r="E9" s="545" t="n"/>
      <x:c r="F9" s="545" t="n"/>
      <x:c r="G9" s="545" t="n"/>
      <x:c r="H9" s="545" t="n"/>
      <x:c r="I9" s="550" t="n"/>
      <x:c r="J9" s="550" t="str">
        <x:f>IF(A9="","",IFERROR(H9*I9,""))</x:f>
      </x:c>
      <x:c r="K9" s="550" t="n"/>
      <x:c r="L9" s="550" t="n"/>
      <x:c r="M9" s="550" t="n"/>
      <x:c r="N9" s="550" t="n"/>
      <x:c r="O9" s="545" t="n"/>
      <x:c r="P9" s="545" t="n"/>
      <x:c r="Q9" s="550" t="str">
        <x:f>IF(E9="","",IFERROR(VLOOKUP(E9,'2_Tính giá'!$A$12:$M$51,13,FALSE),""))</x:f>
      </x:c>
      <x:c r="R9" s="550" t="str">
        <x:f>IF(OR(A9="",H9="",Q9=""),"",H9*Q9)</x:f>
      </x:c>
      <x:c r="S9" s="550" t="str">
        <x:f>IF(A9="","",J9+M9-K9-L9)</x:f>
      </x:c>
      <x:c r="T9" s="550" t="str">
        <x:f>IF(A9="","",J9+M9-K9-L9-N9-R9)</x:f>
      </x:c>
      <x:c r="U9" s="545" t="n"/>
      <x:c r="V9" s="545" t="n"/>
    </x:row>
    <x:row r="10">
      <x:c r="A10" s="545" t="n"/>
      <x:c r="B10" s="549" t="n"/>
      <x:c r="C10" s="545" t="n"/>
      <x:c r="D10" s="545" t="n"/>
      <x:c r="E10" s="545" t="n"/>
      <x:c r="F10" s="545" t="n"/>
      <x:c r="G10" s="545" t="n"/>
      <x:c r="H10" s="545" t="n"/>
      <x:c r="I10" s="550" t="n"/>
      <x:c r="J10" s="550" t="str">
        <x:f>IF(A10="","",IFERROR(H10*I10,""))</x:f>
      </x:c>
      <x:c r="K10" s="550" t="n"/>
      <x:c r="L10" s="550" t="n"/>
      <x:c r="M10" s="550" t="n"/>
      <x:c r="N10" s="550" t="n"/>
      <x:c r="O10" s="545" t="n"/>
      <x:c r="P10" s="545" t="n"/>
      <x:c r="Q10" s="550" t="str">
        <x:f>IF(E10="","",IFERROR(VLOOKUP(E10,'2_Tính giá'!$A$12:$M$51,13,FALSE),""))</x:f>
      </x:c>
      <x:c r="R10" s="550" t="str">
        <x:f>IF(OR(A10="",H10="",Q10=""),"",H10*Q10)</x:f>
      </x:c>
      <x:c r="S10" s="550" t="str">
        <x:f>IF(A10="","",J10+M10-K10-L10)</x:f>
      </x:c>
      <x:c r="T10" s="550" t="str">
        <x:f>IF(A10="","",J10+M10-K10-L10-N10-R10)</x:f>
      </x:c>
      <x:c r="U10" s="545" t="n"/>
      <x:c r="V10" s="545" t="n"/>
    </x:row>
    <x:row r="11">
      <x:c r="A11" s="545" t="n"/>
      <x:c r="B11" s="549" t="n"/>
      <x:c r="C11" s="545" t="n"/>
      <x:c r="D11" s="545" t="n"/>
      <x:c r="E11" s="545" t="n"/>
      <x:c r="F11" s="545" t="n"/>
      <x:c r="G11" s="545" t="n"/>
      <x:c r="H11" s="545" t="n"/>
      <x:c r="I11" s="550" t="n"/>
      <x:c r="J11" s="550" t="str">
        <x:f>IF(A11="","",IFERROR(H11*I11,""))</x:f>
      </x:c>
      <x:c r="K11" s="550" t="n"/>
      <x:c r="L11" s="550" t="n"/>
      <x:c r="M11" s="550" t="n"/>
      <x:c r="N11" s="550" t="n"/>
      <x:c r="O11" s="545" t="n"/>
      <x:c r="P11" s="545" t="n"/>
      <x:c r="Q11" s="550" t="str">
        <x:f>IF(E11="","",IFERROR(VLOOKUP(E11,'2_Tính giá'!$A$12:$M$51,13,FALSE),""))</x:f>
      </x:c>
      <x:c r="R11" s="550" t="str">
        <x:f>IF(OR(A11="",H11="",Q11=""),"",H11*Q11)</x:f>
      </x:c>
      <x:c r="S11" s="550" t="str">
        <x:f>IF(A11="","",J11+M11-K11-L11)</x:f>
      </x:c>
      <x:c r="T11" s="550" t="str">
        <x:f>IF(A11="","",J11+M11-K11-L11-N11-R11)</x:f>
      </x:c>
      <x:c r="U11" s="545" t="n"/>
      <x:c r="V11" s="545" t="n"/>
    </x:row>
    <x:row r="12">
      <x:c r="A12" s="545" t="n"/>
      <x:c r="B12" s="549" t="n"/>
      <x:c r="C12" s="545" t="n"/>
      <x:c r="D12" s="545" t="n"/>
      <x:c r="E12" s="545" t="n"/>
      <x:c r="F12" s="545" t="n"/>
      <x:c r="G12" s="545" t="n"/>
      <x:c r="H12" s="545" t="n"/>
      <x:c r="I12" s="550" t="n"/>
      <x:c r="J12" s="550" t="str">
        <x:f>IF(A12="","",IFERROR(H12*I12,""))</x:f>
      </x:c>
      <x:c r="K12" s="550" t="n"/>
      <x:c r="L12" s="550" t="n"/>
      <x:c r="M12" s="550" t="n"/>
      <x:c r="N12" s="550" t="n"/>
      <x:c r="O12" s="545" t="n"/>
      <x:c r="P12" s="545" t="n"/>
      <x:c r="Q12" s="550" t="str">
        <x:f>IF(E12="","",IFERROR(VLOOKUP(E12,'2_Tính giá'!$A$12:$M$51,13,FALSE),""))</x:f>
      </x:c>
      <x:c r="R12" s="550" t="str">
        <x:f>IF(OR(A12="",H12="",Q12=""),"",H12*Q12)</x:f>
      </x:c>
      <x:c r="S12" s="550" t="str">
        <x:f>IF(A12="","",J12+M12-K12-L12)</x:f>
      </x:c>
      <x:c r="T12" s="550" t="str">
        <x:f>IF(A12="","",J12+M12-K12-L12-N12-R12)</x:f>
      </x:c>
      <x:c r="U12" s="545" t="n"/>
      <x:c r="V12" s="545" t="n"/>
    </x:row>
    <x:row r="13">
      <x:c r="A13" s="545" t="n"/>
      <x:c r="B13" s="549" t="n"/>
      <x:c r="C13" s="545" t="n"/>
      <x:c r="D13" s="545" t="n"/>
      <x:c r="E13" s="545" t="n"/>
      <x:c r="F13" s="545" t="n"/>
      <x:c r="G13" s="545" t="n"/>
      <x:c r="H13" s="545" t="n"/>
      <x:c r="I13" s="550" t="n"/>
      <x:c r="J13" s="550" t="str">
        <x:f>IF(A13="","",IFERROR(H13*I13,""))</x:f>
      </x:c>
      <x:c r="K13" s="550" t="n"/>
      <x:c r="L13" s="550" t="n"/>
      <x:c r="M13" s="550" t="n"/>
      <x:c r="N13" s="550" t="n"/>
      <x:c r="O13" s="545" t="n"/>
      <x:c r="P13" s="545" t="n"/>
      <x:c r="Q13" s="550" t="str">
        <x:f>IF(E13="","",IFERROR(VLOOKUP(E13,'2_Tính giá'!$A$12:$M$51,13,FALSE),""))</x:f>
      </x:c>
      <x:c r="R13" s="550" t="str">
        <x:f>IF(OR(A13="",H13="",Q13=""),"",H13*Q13)</x:f>
      </x:c>
      <x:c r="S13" s="550" t="str">
        <x:f>IF(A13="","",J13+M13-K13-L13)</x:f>
      </x:c>
      <x:c r="T13" s="550" t="str">
        <x:f>IF(A13="","",J13+M13-K13-L13-N13-R13)</x:f>
      </x:c>
      <x:c r="U13" s="545" t="n"/>
      <x:c r="V13" s="545" t="n"/>
    </x:row>
    <x:row r="14">
      <x:c r="A14" s="545" t="n"/>
      <x:c r="B14" s="549" t="n"/>
      <x:c r="C14" s="545" t="n"/>
      <x:c r="D14" s="545" t="n"/>
      <x:c r="E14" s="545" t="n"/>
      <x:c r="F14" s="545" t="n"/>
      <x:c r="G14" s="545" t="n"/>
      <x:c r="H14" s="545" t="n"/>
      <x:c r="I14" s="550" t="n"/>
      <x:c r="J14" s="550" t="str">
        <x:f>IF(A14="","",IFERROR(H14*I14,""))</x:f>
      </x:c>
      <x:c r="K14" s="550" t="n"/>
      <x:c r="L14" s="550" t="n"/>
      <x:c r="M14" s="550" t="n"/>
      <x:c r="N14" s="550" t="n"/>
      <x:c r="O14" s="545" t="n"/>
      <x:c r="P14" s="545" t="n"/>
      <x:c r="Q14" s="550" t="str">
        <x:f>IF(E14="","",IFERROR(VLOOKUP(E14,'2_Tính giá'!$A$12:$M$51,13,FALSE),""))</x:f>
      </x:c>
      <x:c r="R14" s="550" t="str">
        <x:f>IF(OR(A14="",H14="",Q14=""),"",H14*Q14)</x:f>
      </x:c>
      <x:c r="S14" s="550" t="str">
        <x:f>IF(A14="","",J14+M14-K14-L14)</x:f>
      </x:c>
      <x:c r="T14" s="550" t="str">
        <x:f>IF(A14="","",J14+M14-K14-L14-N14-R14)</x:f>
      </x:c>
      <x:c r="U14" s="545" t="n"/>
      <x:c r="V14" s="545" t="n"/>
    </x:row>
    <x:row r="15">
      <x:c r="A15" s="545" t="n"/>
      <x:c r="B15" s="549" t="n"/>
      <x:c r="C15" s="545" t="n"/>
      <x:c r="D15" s="545" t="n"/>
      <x:c r="E15" s="545" t="n"/>
      <x:c r="F15" s="545" t="n"/>
      <x:c r="G15" s="545" t="n"/>
      <x:c r="H15" s="545" t="n"/>
      <x:c r="I15" s="550" t="n"/>
      <x:c r="J15" s="550" t="str">
        <x:f>IF(A15="","",IFERROR(H15*I15,""))</x:f>
      </x:c>
      <x:c r="K15" s="550" t="n"/>
      <x:c r="L15" s="550" t="n"/>
      <x:c r="M15" s="550" t="n"/>
      <x:c r="N15" s="550" t="n"/>
      <x:c r="O15" s="545" t="n"/>
      <x:c r="P15" s="545" t="n"/>
      <x:c r="Q15" s="550" t="str">
        <x:f>IF(E15="","",IFERROR(VLOOKUP(E15,'2_Tính giá'!$A$12:$M$51,13,FALSE),""))</x:f>
      </x:c>
      <x:c r="R15" s="550" t="str">
        <x:f>IF(OR(A15="",H15="",Q15=""),"",H15*Q15)</x:f>
      </x:c>
      <x:c r="S15" s="550" t="str">
        <x:f>IF(A15="","",J15+M15-K15-L15)</x:f>
      </x:c>
      <x:c r="T15" s="550" t="str">
        <x:f>IF(A15="","",J15+M15-K15-L15-N15-R15)</x:f>
      </x:c>
      <x:c r="U15" s="545" t="n"/>
      <x:c r="V15" s="545" t="n"/>
    </x:row>
    <x:row r="16">
      <x:c r="A16" s="545" t="n"/>
      <x:c r="B16" s="549" t="n"/>
      <x:c r="C16" s="545" t="n"/>
      <x:c r="D16" s="545" t="n"/>
      <x:c r="E16" s="545" t="n"/>
      <x:c r="F16" s="545" t="n"/>
      <x:c r="G16" s="545" t="n"/>
      <x:c r="H16" s="545" t="n"/>
      <x:c r="I16" s="550" t="n"/>
      <x:c r="J16" s="550" t="str">
        <x:f>IF(A16="","",IFERROR(H16*I16,""))</x:f>
      </x:c>
      <x:c r="K16" s="550" t="n"/>
      <x:c r="L16" s="550" t="n"/>
      <x:c r="M16" s="550" t="n"/>
      <x:c r="N16" s="550" t="n"/>
      <x:c r="O16" s="545" t="n"/>
      <x:c r="P16" s="545" t="n"/>
      <x:c r="Q16" s="550" t="str">
        <x:f>IF(E16="","",IFERROR(VLOOKUP(E16,'2_Tính giá'!$A$12:$M$51,13,FALSE),""))</x:f>
      </x:c>
      <x:c r="R16" s="550" t="str">
        <x:f>IF(OR(A16="",H16="",Q16=""),"",H16*Q16)</x:f>
      </x:c>
      <x:c r="S16" s="550" t="str">
        <x:f>IF(A16="","",J16+M16-K16-L16)</x:f>
      </x:c>
      <x:c r="T16" s="550" t="str">
        <x:f>IF(A16="","",J16+M16-K16-L16-N16-R16)</x:f>
      </x:c>
      <x:c r="U16" s="545" t="n"/>
      <x:c r="V16" s="545" t="n"/>
    </x:row>
    <x:row r="17">
      <x:c r="A17" s="545" t="n"/>
      <x:c r="B17" s="549" t="n"/>
      <x:c r="C17" s="545" t="n"/>
      <x:c r="D17" s="545" t="n"/>
      <x:c r="E17" s="545" t="n"/>
      <x:c r="F17" s="545" t="n"/>
      <x:c r="G17" s="545" t="n"/>
      <x:c r="H17" s="545" t="n"/>
      <x:c r="I17" s="550" t="n"/>
      <x:c r="J17" s="550" t="str">
        <x:f>IF(A17="","",IFERROR(H17*I17,""))</x:f>
      </x:c>
      <x:c r="K17" s="550" t="n"/>
      <x:c r="L17" s="550" t="n"/>
      <x:c r="M17" s="550" t="n"/>
      <x:c r="N17" s="550" t="n"/>
      <x:c r="O17" s="545" t="n"/>
      <x:c r="P17" s="545" t="n"/>
      <x:c r="Q17" s="550" t="str">
        <x:f>IF(E17="","",IFERROR(VLOOKUP(E17,'2_Tính giá'!$A$12:$M$51,13,FALSE),""))</x:f>
      </x:c>
      <x:c r="R17" s="550" t="str">
        <x:f>IF(OR(A17="",H17="",Q17=""),"",H17*Q17)</x:f>
      </x:c>
      <x:c r="S17" s="550" t="str">
        <x:f>IF(A17="","",J17+M17-K17-L17)</x:f>
      </x:c>
      <x:c r="T17" s="550" t="str">
        <x:f>IF(A17="","",J17+M17-K17-L17-N17-R17)</x:f>
      </x:c>
      <x:c r="U17" s="545" t="n"/>
      <x:c r="V17" s="545" t="n"/>
    </x:row>
    <x:row r="18">
      <x:c r="A18" s="545" t="n"/>
      <x:c r="B18" s="549" t="n"/>
      <x:c r="C18" s="545" t="n"/>
      <x:c r="D18" s="545" t="n"/>
      <x:c r="E18" s="545" t="n"/>
      <x:c r="F18" s="545" t="n"/>
      <x:c r="G18" s="545" t="n"/>
      <x:c r="H18" s="545" t="n"/>
      <x:c r="I18" s="550" t="n"/>
      <x:c r="J18" s="550" t="str">
        <x:f>IF(A18="","",IFERROR(H18*I18,""))</x:f>
      </x:c>
      <x:c r="K18" s="550" t="n"/>
      <x:c r="L18" s="550" t="n"/>
      <x:c r="M18" s="550" t="n"/>
      <x:c r="N18" s="550" t="n"/>
      <x:c r="O18" s="545" t="n"/>
      <x:c r="P18" s="545" t="n"/>
      <x:c r="Q18" s="550" t="str">
        <x:f>IF(E18="","",IFERROR(VLOOKUP(E18,'2_Tính giá'!$A$12:$M$51,13,FALSE),""))</x:f>
      </x:c>
      <x:c r="R18" s="550" t="str">
        <x:f>IF(OR(A18="",H18="",Q18=""),"",H18*Q18)</x:f>
      </x:c>
      <x:c r="S18" s="550" t="str">
        <x:f>IF(A18="","",J18+M18-K18-L18)</x:f>
      </x:c>
      <x:c r="T18" s="550" t="str">
        <x:f>IF(A18="","",J18+M18-K18-L18-N18-R18)</x:f>
      </x:c>
      <x:c r="U18" s="545" t="n"/>
      <x:c r="V18" s="545" t="n"/>
    </x:row>
    <x:row r="19">
      <x:c r="A19" s="545" t="n"/>
      <x:c r="B19" s="549" t="n"/>
      <x:c r="C19" s="545" t="n"/>
      <x:c r="D19" s="545" t="n"/>
      <x:c r="E19" s="545" t="n"/>
      <x:c r="F19" s="545" t="n"/>
      <x:c r="G19" s="545" t="n"/>
      <x:c r="H19" s="545" t="n"/>
      <x:c r="I19" s="550" t="n"/>
      <x:c r="J19" s="550" t="str">
        <x:f>IF(A19="","",IFERROR(H19*I19,""))</x:f>
      </x:c>
      <x:c r="K19" s="550" t="n"/>
      <x:c r="L19" s="550" t="n"/>
      <x:c r="M19" s="550" t="n"/>
      <x:c r="N19" s="550" t="n"/>
      <x:c r="O19" s="545" t="n"/>
      <x:c r="P19" s="545" t="n"/>
      <x:c r="Q19" s="550" t="str">
        <x:f>IF(E19="","",IFERROR(VLOOKUP(E19,'2_Tính giá'!$A$12:$M$51,13,FALSE),""))</x:f>
      </x:c>
      <x:c r="R19" s="550" t="str">
        <x:f>IF(OR(A19="",H19="",Q19=""),"",H19*Q19)</x:f>
      </x:c>
      <x:c r="S19" s="550" t="str">
        <x:f>IF(A19="","",J19+M19-K19-L19)</x:f>
      </x:c>
      <x:c r="T19" s="550" t="str">
        <x:f>IF(A19="","",J19+M19-K19-L19-N19-R19)</x:f>
      </x:c>
      <x:c r="U19" s="545" t="n"/>
      <x:c r="V19" s="545" t="n"/>
    </x:row>
    <x:row r="20">
      <x:c r="A20" s="545" t="n"/>
      <x:c r="B20" s="549" t="n"/>
      <x:c r="C20" s="545" t="n"/>
      <x:c r="D20" s="545" t="n"/>
      <x:c r="E20" s="545" t="n"/>
      <x:c r="F20" s="545" t="n"/>
      <x:c r="G20" s="545" t="n"/>
      <x:c r="H20" s="545" t="n"/>
      <x:c r="I20" s="550" t="n"/>
      <x:c r="J20" s="550" t="str">
        <x:f>IF(A20="","",IFERROR(H20*I20,""))</x:f>
      </x:c>
      <x:c r="K20" s="550" t="n"/>
      <x:c r="L20" s="550" t="n"/>
      <x:c r="M20" s="550" t="n"/>
      <x:c r="N20" s="550" t="n"/>
      <x:c r="O20" s="545" t="n"/>
      <x:c r="P20" s="545" t="n"/>
      <x:c r="Q20" s="550" t="str">
        <x:f>IF(E20="","",IFERROR(VLOOKUP(E20,'2_Tính giá'!$A$12:$M$51,13,FALSE),""))</x:f>
      </x:c>
      <x:c r="R20" s="550" t="str">
        <x:f>IF(OR(A20="",H20="",Q20=""),"",H20*Q20)</x:f>
      </x:c>
      <x:c r="S20" s="550" t="str">
        <x:f>IF(A20="","",J20+M20-K20-L20)</x:f>
      </x:c>
      <x:c r="T20" s="550" t="str">
        <x:f>IF(A20="","",J20+M20-K20-L20-N20-R20)</x:f>
      </x:c>
      <x:c r="U20" s="545" t="n"/>
      <x:c r="V20" s="545" t="n"/>
    </x:row>
    <x:row r="21">
      <x:c r="A21" s="545" t="n"/>
      <x:c r="B21" s="549" t="n"/>
      <x:c r="C21" s="545" t="n"/>
      <x:c r="D21" s="545" t="n"/>
      <x:c r="E21" s="545" t="n"/>
      <x:c r="F21" s="545" t="n"/>
      <x:c r="G21" s="545" t="n"/>
      <x:c r="H21" s="545" t="n"/>
      <x:c r="I21" s="550" t="n"/>
      <x:c r="J21" s="550" t="str">
        <x:f>IF(A21="","",IFERROR(H21*I21,""))</x:f>
      </x:c>
      <x:c r="K21" s="550" t="n"/>
      <x:c r="L21" s="550" t="n"/>
      <x:c r="M21" s="550" t="n"/>
      <x:c r="N21" s="550" t="n"/>
      <x:c r="O21" s="545" t="n"/>
      <x:c r="P21" s="545" t="n"/>
      <x:c r="Q21" s="550" t="str">
        <x:f>IF(E21="","",IFERROR(VLOOKUP(E21,'2_Tính giá'!$A$12:$M$51,13,FALSE),""))</x:f>
      </x:c>
      <x:c r="R21" s="550" t="str">
        <x:f>IF(OR(A21="",H21="",Q21=""),"",H21*Q21)</x:f>
      </x:c>
      <x:c r="S21" s="550" t="str">
        <x:f>IF(A21="","",J21+M21-K21-L21)</x:f>
      </x:c>
      <x:c r="T21" s="550" t="str">
        <x:f>IF(A21="","",J21+M21-K21-L21-N21-R21)</x:f>
      </x:c>
      <x:c r="U21" s="545" t="n"/>
      <x:c r="V21" s="545" t="n"/>
    </x:row>
    <x:row r="22">
      <x:c r="A22" s="545" t="n"/>
      <x:c r="B22" s="549" t="n"/>
      <x:c r="C22" s="545" t="n"/>
      <x:c r="D22" s="545" t="n"/>
      <x:c r="E22" s="545" t="n"/>
      <x:c r="F22" s="545" t="n"/>
      <x:c r="G22" s="545" t="n"/>
      <x:c r="H22" s="545" t="n"/>
      <x:c r="I22" s="550" t="n"/>
      <x:c r="J22" s="550" t="str">
        <x:f>IF(A22="","",IFERROR(H22*I22,""))</x:f>
      </x:c>
      <x:c r="K22" s="550" t="n"/>
      <x:c r="L22" s="550" t="n"/>
      <x:c r="M22" s="550" t="n"/>
      <x:c r="N22" s="550" t="n"/>
      <x:c r="O22" s="545" t="n"/>
      <x:c r="P22" s="545" t="n"/>
      <x:c r="Q22" s="550" t="str">
        <x:f>IF(E22="","",IFERROR(VLOOKUP(E22,'2_Tính giá'!$A$12:$M$51,13,FALSE),""))</x:f>
      </x:c>
      <x:c r="R22" s="550" t="str">
        <x:f>IF(OR(A22="",H22="",Q22=""),"",H22*Q22)</x:f>
      </x:c>
      <x:c r="S22" s="550" t="str">
        <x:f>IF(A22="","",J22+M22-K22-L22)</x:f>
      </x:c>
      <x:c r="T22" s="550" t="str">
        <x:f>IF(A22="","",J22+M22-K22-L22-N22-R22)</x:f>
      </x:c>
      <x:c r="U22" s="545" t="n"/>
      <x:c r="V22" s="545" t="n"/>
    </x:row>
    <x:row r="23">
      <x:c r="A23" s="545" t="n"/>
      <x:c r="B23" s="549" t="n"/>
      <x:c r="C23" s="545" t="n"/>
      <x:c r="D23" s="545" t="n"/>
      <x:c r="E23" s="545" t="n"/>
      <x:c r="F23" s="545" t="n"/>
      <x:c r="G23" s="545" t="n"/>
      <x:c r="H23" s="545" t="n"/>
      <x:c r="I23" s="550" t="n"/>
      <x:c r="J23" s="550" t="str">
        <x:f>IF(A23="","",IFERROR(H23*I23,""))</x:f>
      </x:c>
      <x:c r="K23" s="550" t="n"/>
      <x:c r="L23" s="550" t="n"/>
      <x:c r="M23" s="550" t="n"/>
      <x:c r="N23" s="550" t="n"/>
      <x:c r="O23" s="545" t="n"/>
      <x:c r="P23" s="545" t="n"/>
      <x:c r="Q23" s="550" t="str">
        <x:f>IF(E23="","",IFERROR(VLOOKUP(E23,'2_Tính giá'!$A$12:$M$51,13,FALSE),""))</x:f>
      </x:c>
      <x:c r="R23" s="550" t="str">
        <x:f>IF(OR(A23="",H23="",Q23=""),"",H23*Q23)</x:f>
      </x:c>
      <x:c r="S23" s="550" t="str">
        <x:f>IF(A23="","",J23+M23-K23-L23)</x:f>
      </x:c>
      <x:c r="T23" s="550" t="str">
        <x:f>IF(A23="","",J23+M23-K23-L23-N23-R23)</x:f>
      </x:c>
      <x:c r="U23" s="545" t="n"/>
      <x:c r="V23" s="545" t="n"/>
    </x:row>
    <x:row r="24">
      <x:c r="A24" s="545" t="n"/>
      <x:c r="B24" s="549" t="n"/>
      <x:c r="C24" s="545" t="n"/>
      <x:c r="D24" s="545" t="n"/>
      <x:c r="E24" s="545" t="n"/>
      <x:c r="F24" s="545" t="n"/>
      <x:c r="G24" s="545" t="n"/>
      <x:c r="H24" s="545" t="n"/>
      <x:c r="I24" s="550" t="n"/>
      <x:c r="J24" s="550" t="str">
        <x:f>IF(A24="","",IFERROR(H24*I24,""))</x:f>
      </x:c>
      <x:c r="K24" s="550" t="n"/>
      <x:c r="L24" s="550" t="n"/>
      <x:c r="M24" s="550" t="n"/>
      <x:c r="N24" s="550" t="n"/>
      <x:c r="O24" s="545" t="n"/>
      <x:c r="P24" s="545" t="n"/>
      <x:c r="Q24" s="550" t="str">
        <x:f>IF(E24="","",IFERROR(VLOOKUP(E24,'2_Tính giá'!$A$12:$M$51,13,FALSE),""))</x:f>
      </x:c>
      <x:c r="R24" s="550" t="str">
        <x:f>IF(OR(A24="",H24="",Q24=""),"",H24*Q24)</x:f>
      </x:c>
      <x:c r="S24" s="550" t="str">
        <x:f>IF(A24="","",J24+M24-K24-L24)</x:f>
      </x:c>
      <x:c r="T24" s="550" t="str">
        <x:f>IF(A24="","",J24+M24-K24-L24-N24-R24)</x:f>
      </x:c>
      <x:c r="U24" s="545" t="n"/>
      <x:c r="V24" s="545" t="n"/>
    </x:row>
    <x:row r="25">
      <x:c r="A25" s="545" t="n"/>
      <x:c r="B25" s="549" t="n"/>
      <x:c r="C25" s="545" t="n"/>
      <x:c r="D25" s="545" t="n"/>
      <x:c r="E25" s="545" t="n"/>
      <x:c r="F25" s="545" t="n"/>
      <x:c r="G25" s="545" t="n"/>
      <x:c r="H25" s="545" t="n"/>
      <x:c r="I25" s="550" t="n"/>
      <x:c r="J25" s="550" t="str">
        <x:f>IF(A25="","",IFERROR(H25*I25,""))</x:f>
      </x:c>
      <x:c r="K25" s="550" t="n"/>
      <x:c r="L25" s="550" t="n"/>
      <x:c r="M25" s="550" t="n"/>
      <x:c r="N25" s="550" t="n"/>
      <x:c r="O25" s="545" t="n"/>
      <x:c r="P25" s="545" t="n"/>
      <x:c r="Q25" s="550" t="str">
        <x:f>IF(E25="","",IFERROR(VLOOKUP(E25,'2_Tính giá'!$A$12:$M$51,13,FALSE),""))</x:f>
      </x:c>
      <x:c r="R25" s="550" t="str">
        <x:f>IF(OR(A25="",H25="",Q25=""),"",H25*Q25)</x:f>
      </x:c>
      <x:c r="S25" s="550" t="str">
        <x:f>IF(A25="","",J25+M25-K25-L25)</x:f>
      </x:c>
      <x:c r="T25" s="550" t="str">
        <x:f>IF(A25="","",J25+M25-K25-L25-N25-R25)</x:f>
      </x:c>
      <x:c r="U25" s="545" t="n"/>
      <x:c r="V25" s="545" t="n"/>
    </x:row>
    <x:row r="26">
      <x:c r="A26" s="545" t="n"/>
      <x:c r="B26" s="549" t="n"/>
      <x:c r="C26" s="545" t="n"/>
      <x:c r="D26" s="545" t="n"/>
      <x:c r="E26" s="545" t="n"/>
      <x:c r="F26" s="545" t="n"/>
      <x:c r="G26" s="545" t="n"/>
      <x:c r="H26" s="545" t="n"/>
      <x:c r="I26" s="550" t="n"/>
      <x:c r="J26" s="550" t="str">
        <x:f>IF(A26="","",IFERROR(H26*I26,""))</x:f>
      </x:c>
      <x:c r="K26" s="550" t="n"/>
      <x:c r="L26" s="550" t="n"/>
      <x:c r="M26" s="550" t="n"/>
      <x:c r="N26" s="550" t="n"/>
      <x:c r="O26" s="545" t="n"/>
      <x:c r="P26" s="545" t="n"/>
      <x:c r="Q26" s="550" t="str">
        <x:f>IF(E26="","",IFERROR(VLOOKUP(E26,'2_Tính giá'!$A$12:$M$51,13,FALSE),""))</x:f>
      </x:c>
      <x:c r="R26" s="550" t="str">
        <x:f>IF(OR(A26="",H26="",Q26=""),"",H26*Q26)</x:f>
      </x:c>
      <x:c r="S26" s="550" t="str">
        <x:f>IF(A26="","",J26+M26-K26-L26)</x:f>
      </x:c>
      <x:c r="T26" s="550" t="str">
        <x:f>IF(A26="","",J26+M26-K26-L26-N26-R26)</x:f>
      </x:c>
      <x:c r="U26" s="545" t="n"/>
      <x:c r="V26" s="545" t="n"/>
    </x:row>
    <x:row r="27">
      <x:c r="A27" s="545" t="n"/>
      <x:c r="B27" s="549" t="n"/>
      <x:c r="C27" s="545" t="n"/>
      <x:c r="D27" s="545" t="n"/>
      <x:c r="E27" s="545" t="n"/>
      <x:c r="F27" s="545" t="n"/>
      <x:c r="G27" s="545" t="n"/>
      <x:c r="H27" s="545" t="n"/>
      <x:c r="I27" s="550" t="n"/>
      <x:c r="J27" s="550" t="str">
        <x:f>IF(A27="","",IFERROR(H27*I27,""))</x:f>
      </x:c>
      <x:c r="K27" s="550" t="n"/>
      <x:c r="L27" s="550" t="n"/>
      <x:c r="M27" s="550" t="n"/>
      <x:c r="N27" s="550" t="n"/>
      <x:c r="O27" s="545" t="n"/>
      <x:c r="P27" s="545" t="n"/>
      <x:c r="Q27" s="550" t="str">
        <x:f>IF(E27="","",IFERROR(VLOOKUP(E27,'2_Tính giá'!$A$12:$M$51,13,FALSE),""))</x:f>
      </x:c>
      <x:c r="R27" s="550" t="str">
        <x:f>IF(OR(A27="",H27="",Q27=""),"",H27*Q27)</x:f>
      </x:c>
      <x:c r="S27" s="550" t="str">
        <x:f>IF(A27="","",J27+M27-K27-L27)</x:f>
      </x:c>
      <x:c r="T27" s="550" t="str">
        <x:f>IF(A27="","",J27+M27-K27-L27-N27-R27)</x:f>
      </x:c>
      <x:c r="U27" s="545" t="n"/>
      <x:c r="V27" s="545" t="n"/>
    </x:row>
    <x:row r="28">
      <x:c r="A28" s="545" t="n"/>
      <x:c r="B28" s="549" t="n"/>
      <x:c r="C28" s="545" t="n"/>
      <x:c r="D28" s="545" t="n"/>
      <x:c r="E28" s="545" t="n"/>
      <x:c r="F28" s="545" t="n"/>
      <x:c r="G28" s="545" t="n"/>
      <x:c r="H28" s="545" t="n"/>
      <x:c r="I28" s="550" t="n"/>
      <x:c r="J28" s="550" t="str">
        <x:f>IF(A28="","",IFERROR(H28*I28,""))</x:f>
      </x:c>
      <x:c r="K28" s="550" t="n"/>
      <x:c r="L28" s="550" t="n"/>
      <x:c r="M28" s="550" t="n"/>
      <x:c r="N28" s="550" t="n"/>
      <x:c r="O28" s="545" t="n"/>
      <x:c r="P28" s="545" t="n"/>
      <x:c r="Q28" s="550" t="str">
        <x:f>IF(E28="","",IFERROR(VLOOKUP(E28,'2_Tính giá'!$A$12:$M$51,13,FALSE),""))</x:f>
      </x:c>
      <x:c r="R28" s="550" t="str">
        <x:f>IF(OR(A28="",H28="",Q28=""),"",H28*Q28)</x:f>
      </x:c>
      <x:c r="S28" s="550" t="str">
        <x:f>IF(A28="","",J28+M28-K28-L28)</x:f>
      </x:c>
      <x:c r="T28" s="550" t="str">
        <x:f>IF(A28="","",J28+M28-K28-L28-N28-R28)</x:f>
      </x:c>
      <x:c r="U28" s="545" t="n"/>
      <x:c r="V28" s="545" t="n"/>
    </x:row>
    <x:row r="29">
      <x:c r="A29" s="545" t="n"/>
      <x:c r="B29" s="549" t="n"/>
      <x:c r="C29" s="545" t="n"/>
      <x:c r="D29" s="545" t="n"/>
      <x:c r="E29" s="545" t="n"/>
      <x:c r="F29" s="545" t="n"/>
      <x:c r="G29" s="545" t="n"/>
      <x:c r="H29" s="545" t="n"/>
      <x:c r="I29" s="550" t="n"/>
      <x:c r="J29" s="550" t="str">
        <x:f>IF(A29="","",IFERROR(H29*I29,""))</x:f>
      </x:c>
      <x:c r="K29" s="550" t="n"/>
      <x:c r="L29" s="550" t="n"/>
      <x:c r="M29" s="550" t="n"/>
      <x:c r="N29" s="550" t="n"/>
      <x:c r="O29" s="545" t="n"/>
      <x:c r="P29" s="545" t="n"/>
      <x:c r="Q29" s="550" t="str">
        <x:f>IF(E29="","",IFERROR(VLOOKUP(E29,'2_Tính giá'!$A$12:$M$51,13,FALSE),""))</x:f>
      </x:c>
      <x:c r="R29" s="550" t="str">
        <x:f>IF(OR(A29="",H29="",Q29=""),"",H29*Q29)</x:f>
      </x:c>
      <x:c r="S29" s="550" t="str">
        <x:f>IF(A29="","",J29+M29-K29-L29)</x:f>
      </x:c>
      <x:c r="T29" s="550" t="str">
        <x:f>IF(A29="","",J29+M29-K29-L29-N29-R29)</x:f>
      </x:c>
      <x:c r="U29" s="545" t="n"/>
      <x:c r="V29" s="545" t="n"/>
    </x:row>
    <x:row r="30">
      <x:c r="A30" s="545" t="n"/>
      <x:c r="B30" s="549" t="n"/>
      <x:c r="C30" s="545" t="n"/>
      <x:c r="D30" s="545" t="n"/>
      <x:c r="E30" s="545" t="n"/>
      <x:c r="F30" s="545" t="n"/>
      <x:c r="G30" s="545" t="n"/>
      <x:c r="H30" s="545" t="n"/>
      <x:c r="I30" s="550" t="n"/>
      <x:c r="J30" s="550" t="str">
        <x:f>IF(A30="","",IFERROR(H30*I30,""))</x:f>
      </x:c>
      <x:c r="K30" s="550" t="n"/>
      <x:c r="L30" s="550" t="n"/>
      <x:c r="M30" s="550" t="n"/>
      <x:c r="N30" s="550" t="n"/>
      <x:c r="O30" s="545" t="n"/>
      <x:c r="P30" s="545" t="n"/>
      <x:c r="Q30" s="550" t="str">
        <x:f>IF(E30="","",IFERROR(VLOOKUP(E30,'2_Tính giá'!$A$12:$M$51,13,FALSE),""))</x:f>
      </x:c>
      <x:c r="R30" s="550" t="str">
        <x:f>IF(OR(A30="",H30="",Q30=""),"",H30*Q30)</x:f>
      </x:c>
      <x:c r="S30" s="550" t="str">
        <x:f>IF(A30="","",J30+M30-K30-L30)</x:f>
      </x:c>
      <x:c r="T30" s="550" t="str">
        <x:f>IF(A30="","",J30+M30-K30-L30-N30-R30)</x:f>
      </x:c>
      <x:c r="U30" s="545" t="n"/>
      <x:c r="V30" s="545" t="n"/>
    </x:row>
    <x:row r="31">
      <x:c r="A31" s="545" t="n"/>
      <x:c r="B31" s="549" t="n"/>
      <x:c r="C31" s="545" t="n"/>
      <x:c r="D31" s="545" t="n"/>
      <x:c r="E31" s="545" t="n"/>
      <x:c r="F31" s="545" t="n"/>
      <x:c r="G31" s="545" t="n"/>
      <x:c r="H31" s="545" t="n"/>
      <x:c r="I31" s="550" t="n"/>
      <x:c r="J31" s="550" t="str">
        <x:f>IF(A31="","",IFERROR(H31*I31,""))</x:f>
      </x:c>
      <x:c r="K31" s="550" t="n"/>
      <x:c r="L31" s="550" t="n"/>
      <x:c r="M31" s="550" t="n"/>
      <x:c r="N31" s="550" t="n"/>
      <x:c r="O31" s="545" t="n"/>
      <x:c r="P31" s="545" t="n"/>
      <x:c r="Q31" s="550" t="str">
        <x:f>IF(E31="","",IFERROR(VLOOKUP(E31,'2_Tính giá'!$A$12:$M$51,13,FALSE),""))</x:f>
      </x:c>
      <x:c r="R31" s="550" t="str">
        <x:f>IF(OR(A31="",H31="",Q31=""),"",H31*Q31)</x:f>
      </x:c>
      <x:c r="S31" s="550" t="str">
        <x:f>IF(A31="","",J31+M31-K31-L31)</x:f>
      </x:c>
      <x:c r="T31" s="550" t="str">
        <x:f>IF(A31="","",J31+M31-K31-L31-N31-R31)</x:f>
      </x:c>
      <x:c r="U31" s="545" t="n"/>
      <x:c r="V31" s="545" t="n"/>
    </x:row>
    <x:row r="32">
      <x:c r="A32" s="545" t="n"/>
      <x:c r="B32" s="549" t="n"/>
      <x:c r="C32" s="545" t="n"/>
      <x:c r="D32" s="545" t="n"/>
      <x:c r="E32" s="545" t="n"/>
      <x:c r="F32" s="545" t="n"/>
      <x:c r="G32" s="545" t="n"/>
      <x:c r="H32" s="545" t="n"/>
      <x:c r="I32" s="550" t="n"/>
      <x:c r="J32" s="550" t="str">
        <x:f>IF(A32="","",IFERROR(H32*I32,""))</x:f>
      </x:c>
      <x:c r="K32" s="550" t="n"/>
      <x:c r="L32" s="550" t="n"/>
      <x:c r="M32" s="550" t="n"/>
      <x:c r="N32" s="550" t="n"/>
      <x:c r="O32" s="545" t="n"/>
      <x:c r="P32" s="545" t="n"/>
      <x:c r="Q32" s="550" t="str">
        <x:f>IF(E32="","",IFERROR(VLOOKUP(E32,'2_Tính giá'!$A$12:$M$51,13,FALSE),""))</x:f>
      </x:c>
      <x:c r="R32" s="550" t="str">
        <x:f>IF(OR(A32="",H32="",Q32=""),"",H32*Q32)</x:f>
      </x:c>
      <x:c r="S32" s="550" t="str">
        <x:f>IF(A32="","",J32+M32-K32-L32)</x:f>
      </x:c>
      <x:c r="T32" s="550" t="str">
        <x:f>IF(A32="","",J32+M32-K32-L32-N32-R32)</x:f>
      </x:c>
      <x:c r="U32" s="545" t="n"/>
      <x:c r="V32" s="545" t="n"/>
    </x:row>
    <x:row r="33">
      <x:c r="A33" s="545" t="n"/>
      <x:c r="B33" s="549" t="n"/>
      <x:c r="C33" s="545" t="n"/>
      <x:c r="D33" s="545" t="n"/>
      <x:c r="E33" s="545" t="n"/>
      <x:c r="F33" s="545" t="n"/>
      <x:c r="G33" s="545" t="n"/>
      <x:c r="H33" s="545" t="n"/>
      <x:c r="I33" s="550" t="n"/>
      <x:c r="J33" s="550" t="str">
        <x:f>IF(A33="","",IFERROR(H33*I33,""))</x:f>
      </x:c>
      <x:c r="K33" s="550" t="n"/>
      <x:c r="L33" s="550" t="n"/>
      <x:c r="M33" s="550" t="n"/>
      <x:c r="N33" s="550" t="n"/>
      <x:c r="O33" s="545" t="n"/>
      <x:c r="P33" s="545" t="n"/>
      <x:c r="Q33" s="550" t="str">
        <x:f>IF(E33="","",IFERROR(VLOOKUP(E33,'2_Tính giá'!$A$12:$M$51,13,FALSE),""))</x:f>
      </x:c>
      <x:c r="R33" s="550" t="str">
        <x:f>IF(OR(A33="",H33="",Q33=""),"",H33*Q33)</x:f>
      </x:c>
      <x:c r="S33" s="550" t="str">
        <x:f>IF(A33="","",J33+M33-K33-L33)</x:f>
      </x:c>
      <x:c r="T33" s="550" t="str">
        <x:f>IF(A33="","",J33+M33-K33-L33-N33-R33)</x:f>
      </x:c>
      <x:c r="U33" s="545" t="n"/>
      <x:c r="V33" s="545" t="n"/>
    </x:row>
    <x:row r="34">
      <x:c r="A34" s="545" t="n"/>
      <x:c r="B34" s="549" t="n"/>
      <x:c r="C34" s="545" t="n"/>
      <x:c r="D34" s="545" t="n"/>
      <x:c r="E34" s="545" t="n"/>
      <x:c r="F34" s="545" t="n"/>
      <x:c r="G34" s="545" t="n"/>
      <x:c r="H34" s="545" t="n"/>
      <x:c r="I34" s="550" t="n"/>
      <x:c r="J34" s="550" t="str">
        <x:f>IF(A34="","",IFERROR(H34*I34,""))</x:f>
      </x:c>
      <x:c r="K34" s="550" t="n"/>
      <x:c r="L34" s="550" t="n"/>
      <x:c r="M34" s="550" t="n"/>
      <x:c r="N34" s="550" t="n"/>
      <x:c r="O34" s="545" t="n"/>
      <x:c r="P34" s="545" t="n"/>
      <x:c r="Q34" s="550" t="str">
        <x:f>IF(E34="","",IFERROR(VLOOKUP(E34,'2_Tính giá'!$A$12:$M$51,13,FALSE),""))</x:f>
      </x:c>
      <x:c r="R34" s="550" t="str">
        <x:f>IF(OR(A34="",H34="",Q34=""),"",H34*Q34)</x:f>
      </x:c>
      <x:c r="S34" s="550" t="str">
        <x:f>IF(A34="","",J34+M34-K34-L34)</x:f>
      </x:c>
      <x:c r="T34" s="550" t="str">
        <x:f>IF(A34="","",J34+M34-K34-L34-N34-R34)</x:f>
      </x:c>
      <x:c r="U34" s="545" t="n"/>
      <x:c r="V34" s="545" t="n"/>
    </x:row>
    <x:row r="35">
      <x:c r="A35" s="545" t="n"/>
      <x:c r="B35" s="549" t="n"/>
      <x:c r="C35" s="545" t="n"/>
      <x:c r="D35" s="545" t="n"/>
      <x:c r="E35" s="545" t="n"/>
      <x:c r="F35" s="545" t="n"/>
      <x:c r="G35" s="545" t="n"/>
      <x:c r="H35" s="545" t="n"/>
      <x:c r="I35" s="550" t="n"/>
      <x:c r="J35" s="550" t="str">
        <x:f>IF(A35="","",IFERROR(H35*I35,""))</x:f>
      </x:c>
      <x:c r="K35" s="550" t="n"/>
      <x:c r="L35" s="550" t="n"/>
      <x:c r="M35" s="550" t="n"/>
      <x:c r="N35" s="550" t="n"/>
      <x:c r="O35" s="545" t="n"/>
      <x:c r="P35" s="545" t="n"/>
      <x:c r="Q35" s="550" t="str">
        <x:f>IF(E35="","",IFERROR(VLOOKUP(E35,'2_Tính giá'!$A$12:$M$51,13,FALSE),""))</x:f>
      </x:c>
      <x:c r="R35" s="550" t="str">
        <x:f>IF(OR(A35="",H35="",Q35=""),"",H35*Q35)</x:f>
      </x:c>
      <x:c r="S35" s="550" t="str">
        <x:f>IF(A35="","",J35+M35-K35-L35)</x:f>
      </x:c>
      <x:c r="T35" s="550" t="str">
        <x:f>IF(A35="","",J35+M35-K35-L35-N35-R35)</x:f>
      </x:c>
      <x:c r="U35" s="545" t="n"/>
      <x:c r="V35" s="545" t="n"/>
    </x:row>
    <x:row r="36">
      <x:c r="A36" s="545" t="n"/>
      <x:c r="B36" s="549" t="n"/>
      <x:c r="C36" s="545" t="n"/>
      <x:c r="D36" s="545" t="n"/>
      <x:c r="E36" s="545" t="n"/>
      <x:c r="F36" s="545" t="n"/>
      <x:c r="G36" s="545" t="n"/>
      <x:c r="H36" s="545" t="n"/>
      <x:c r="I36" s="550" t="n"/>
      <x:c r="J36" s="550" t="str">
        <x:f>IF(A36="","",IFERROR(H36*I36,""))</x:f>
      </x:c>
      <x:c r="K36" s="550" t="n"/>
      <x:c r="L36" s="550" t="n"/>
      <x:c r="M36" s="550" t="n"/>
      <x:c r="N36" s="550" t="n"/>
      <x:c r="O36" s="545" t="n"/>
      <x:c r="P36" s="545" t="n"/>
      <x:c r="Q36" s="550" t="str">
        <x:f>IF(E36="","",IFERROR(VLOOKUP(E36,'2_Tính giá'!$A$12:$M$51,13,FALSE),""))</x:f>
      </x:c>
      <x:c r="R36" s="550" t="str">
        <x:f>IF(OR(A36="",H36="",Q36=""),"",H36*Q36)</x:f>
      </x:c>
      <x:c r="S36" s="550" t="str">
        <x:f>IF(A36="","",J36+M36-K36-L36)</x:f>
      </x:c>
      <x:c r="T36" s="550" t="str">
        <x:f>IF(A36="","",J36+M36-K36-L36-N36-R36)</x:f>
      </x:c>
      <x:c r="U36" s="545" t="n"/>
      <x:c r="V36" s="545" t="n"/>
    </x:row>
    <x:row r="37">
      <x:c r="A37" s="545" t="n"/>
      <x:c r="B37" s="549" t="n"/>
      <x:c r="C37" s="545" t="n"/>
      <x:c r="D37" s="545" t="n"/>
      <x:c r="E37" s="545" t="n"/>
      <x:c r="F37" s="545" t="n"/>
      <x:c r="G37" s="545" t="n"/>
      <x:c r="H37" s="545" t="n"/>
      <x:c r="I37" s="550" t="n"/>
      <x:c r="J37" s="550" t="str">
        <x:f>IF(A37="","",IFERROR(H37*I37,""))</x:f>
      </x:c>
      <x:c r="K37" s="550" t="n"/>
      <x:c r="L37" s="550" t="n"/>
      <x:c r="M37" s="550" t="n"/>
      <x:c r="N37" s="550" t="n"/>
      <x:c r="O37" s="545" t="n"/>
      <x:c r="P37" s="545" t="n"/>
      <x:c r="Q37" s="550" t="str">
        <x:f>IF(E37="","",IFERROR(VLOOKUP(E37,'2_Tính giá'!$A$12:$M$51,13,FALSE),""))</x:f>
      </x:c>
      <x:c r="R37" s="550" t="str">
        <x:f>IF(OR(A37="",H37="",Q37=""),"",H37*Q37)</x:f>
      </x:c>
      <x:c r="S37" s="550" t="str">
        <x:f>IF(A37="","",J37+M37-K37-L37)</x:f>
      </x:c>
      <x:c r="T37" s="550" t="str">
        <x:f>IF(A37="","",J37+M37-K37-L37-N37-R37)</x:f>
      </x:c>
      <x:c r="U37" s="545" t="n"/>
      <x:c r="V37" s="545" t="n"/>
    </x:row>
    <x:row r="38">
      <x:c r="A38" s="545" t="n"/>
      <x:c r="B38" s="549" t="n"/>
      <x:c r="C38" s="545" t="n"/>
      <x:c r="D38" s="545" t="n"/>
      <x:c r="E38" s="545" t="n"/>
      <x:c r="F38" s="545" t="n"/>
      <x:c r="G38" s="545" t="n"/>
      <x:c r="H38" s="545" t="n"/>
      <x:c r="I38" s="550" t="n"/>
      <x:c r="J38" s="550" t="str">
        <x:f>IF(A38="","",IFERROR(H38*I38,""))</x:f>
      </x:c>
      <x:c r="K38" s="550" t="n"/>
      <x:c r="L38" s="550" t="n"/>
      <x:c r="M38" s="550" t="n"/>
      <x:c r="N38" s="550" t="n"/>
      <x:c r="O38" s="545" t="n"/>
      <x:c r="P38" s="545" t="n"/>
      <x:c r="Q38" s="550" t="str">
        <x:f>IF(E38="","",IFERROR(VLOOKUP(E38,'2_Tính giá'!$A$12:$M$51,13,FALSE),""))</x:f>
      </x:c>
      <x:c r="R38" s="550" t="str">
        <x:f>IF(OR(A38="",H38="",Q38=""),"",H38*Q38)</x:f>
      </x:c>
      <x:c r="S38" s="550" t="str">
        <x:f>IF(A38="","",J38+M38-K38-L38)</x:f>
      </x:c>
      <x:c r="T38" s="550" t="str">
        <x:f>IF(A38="","",J38+M38-K38-L38-N38-R38)</x:f>
      </x:c>
      <x:c r="U38" s="545" t="n"/>
      <x:c r="V38" s="545" t="n"/>
    </x:row>
    <x:row r="39">
      <x:c r="A39" s="545" t="n"/>
      <x:c r="B39" s="549" t="n"/>
      <x:c r="C39" s="545" t="n"/>
      <x:c r="D39" s="545" t="n"/>
      <x:c r="E39" s="545" t="n"/>
      <x:c r="F39" s="545" t="n"/>
      <x:c r="G39" s="545" t="n"/>
      <x:c r="H39" s="545" t="n"/>
      <x:c r="I39" s="550" t="n"/>
      <x:c r="J39" s="550" t="str">
        <x:f>IF(A39="","",IFERROR(H39*I39,""))</x:f>
      </x:c>
      <x:c r="K39" s="550" t="n"/>
      <x:c r="L39" s="550" t="n"/>
      <x:c r="M39" s="550" t="n"/>
      <x:c r="N39" s="550" t="n"/>
      <x:c r="O39" s="545" t="n"/>
      <x:c r="P39" s="545" t="n"/>
      <x:c r="Q39" s="550" t="str">
        <x:f>IF(E39="","",IFERROR(VLOOKUP(E39,'2_Tính giá'!$A$12:$M$51,13,FALSE),""))</x:f>
      </x:c>
      <x:c r="R39" s="550" t="str">
        <x:f>IF(OR(A39="",H39="",Q39=""),"",H39*Q39)</x:f>
      </x:c>
      <x:c r="S39" s="550" t="str">
        <x:f>IF(A39="","",J39+M39-K39-L39)</x:f>
      </x:c>
      <x:c r="T39" s="550" t="str">
        <x:f>IF(A39="","",J39+M39-K39-L39-N39-R39)</x:f>
      </x:c>
      <x:c r="U39" s="545" t="n"/>
      <x:c r="V39" s="545" t="n"/>
    </x:row>
    <x:row r="40">
      <x:c r="A40" s="545" t="n"/>
      <x:c r="B40" s="549" t="n"/>
      <x:c r="C40" s="545" t="n"/>
      <x:c r="D40" s="545" t="n"/>
      <x:c r="E40" s="545" t="n"/>
      <x:c r="F40" s="545" t="n"/>
      <x:c r="G40" s="545" t="n"/>
      <x:c r="H40" s="545" t="n"/>
      <x:c r="I40" s="550" t="n"/>
      <x:c r="J40" s="550" t="str">
        <x:f>IF(A40="","",IFERROR(H40*I40,""))</x:f>
      </x:c>
      <x:c r="K40" s="550" t="n"/>
      <x:c r="L40" s="550" t="n"/>
      <x:c r="M40" s="550" t="n"/>
      <x:c r="N40" s="550" t="n"/>
      <x:c r="O40" s="545" t="n"/>
      <x:c r="P40" s="545" t="n"/>
      <x:c r="Q40" s="550" t="str">
        <x:f>IF(E40="","",IFERROR(VLOOKUP(E40,'2_Tính giá'!$A$12:$M$51,13,FALSE),""))</x:f>
      </x:c>
      <x:c r="R40" s="550" t="str">
        <x:f>IF(OR(A40="",H40="",Q40=""),"",H40*Q40)</x:f>
      </x:c>
      <x:c r="S40" s="550" t="str">
        <x:f>IF(A40="","",J40+M40-K40-L40)</x:f>
      </x:c>
      <x:c r="T40" s="550" t="str">
        <x:f>IF(A40="","",J40+M40-K40-L40-N40-R40)</x:f>
      </x:c>
      <x:c r="U40" s="545" t="n"/>
      <x:c r="V40" s="545" t="n"/>
    </x:row>
    <x:row r="41">
      <x:c r="A41" s="545" t="n"/>
      <x:c r="B41" s="549" t="n"/>
      <x:c r="C41" s="545" t="n"/>
      <x:c r="D41" s="545" t="n"/>
      <x:c r="E41" s="545" t="n"/>
      <x:c r="F41" s="545" t="n"/>
      <x:c r="G41" s="545" t="n"/>
      <x:c r="H41" s="545" t="n"/>
      <x:c r="I41" s="550" t="n"/>
      <x:c r="J41" s="550" t="str">
        <x:f>IF(A41="","",IFERROR(H41*I41,""))</x:f>
      </x:c>
      <x:c r="K41" s="550" t="n"/>
      <x:c r="L41" s="550" t="n"/>
      <x:c r="M41" s="550" t="n"/>
      <x:c r="N41" s="550" t="n"/>
      <x:c r="O41" s="545" t="n"/>
      <x:c r="P41" s="545" t="n"/>
      <x:c r="Q41" s="550" t="str">
        <x:f>IF(E41="","",IFERROR(VLOOKUP(E41,'2_Tính giá'!$A$12:$M$51,13,FALSE),""))</x:f>
      </x:c>
      <x:c r="R41" s="550" t="str">
        <x:f>IF(OR(A41="",H41="",Q41=""),"",H41*Q41)</x:f>
      </x:c>
      <x:c r="S41" s="550" t="str">
        <x:f>IF(A41="","",J41+M41-K41-L41)</x:f>
      </x:c>
      <x:c r="T41" s="550" t="str">
        <x:f>IF(A41="","",J41+M41-K41-L41-N41-R41)</x:f>
      </x:c>
      <x:c r="U41" s="545" t="n"/>
      <x:c r="V41" s="545" t="n"/>
    </x:row>
    <x:row r="42">
      <x:c r="A42" s="545" t="n"/>
      <x:c r="B42" s="549" t="n"/>
      <x:c r="C42" s="545" t="n"/>
      <x:c r="D42" s="545" t="n"/>
      <x:c r="E42" s="545" t="n"/>
      <x:c r="F42" s="545" t="n"/>
      <x:c r="G42" s="545" t="n"/>
      <x:c r="H42" s="545" t="n"/>
      <x:c r="I42" s="550" t="n"/>
      <x:c r="J42" s="550" t="str">
        <x:f>IF(A42="","",IFERROR(H42*I42,""))</x:f>
      </x:c>
      <x:c r="K42" s="550" t="n"/>
      <x:c r="L42" s="550" t="n"/>
      <x:c r="M42" s="550" t="n"/>
      <x:c r="N42" s="550" t="n"/>
      <x:c r="O42" s="545" t="n"/>
      <x:c r="P42" s="545" t="n"/>
      <x:c r="Q42" s="550" t="str">
        <x:f>IF(E42="","",IFERROR(VLOOKUP(E42,'2_Tính giá'!$A$12:$M$51,13,FALSE),""))</x:f>
      </x:c>
      <x:c r="R42" s="550" t="str">
        <x:f>IF(OR(A42="",H42="",Q42=""),"",H42*Q42)</x:f>
      </x:c>
      <x:c r="S42" s="550" t="str">
        <x:f>IF(A42="","",J42+M42-K42-L42)</x:f>
      </x:c>
      <x:c r="T42" s="550" t="str">
        <x:f>IF(A42="","",J42+M42-K42-L42-N42-R42)</x:f>
      </x:c>
      <x:c r="U42" s="545" t="n"/>
      <x:c r="V42" s="545" t="n"/>
    </x:row>
    <x:row r="43">
      <x:c r="A43" s="545" t="n"/>
      <x:c r="B43" s="549" t="n"/>
      <x:c r="C43" s="545" t="n"/>
      <x:c r="D43" s="545" t="n"/>
      <x:c r="E43" s="545" t="n"/>
      <x:c r="F43" s="545" t="n"/>
      <x:c r="G43" s="545" t="n"/>
      <x:c r="H43" s="545" t="n"/>
      <x:c r="I43" s="550" t="n"/>
      <x:c r="J43" s="550" t="str">
        <x:f>IF(A43="","",IFERROR(H43*I43,""))</x:f>
      </x:c>
      <x:c r="K43" s="550" t="n"/>
      <x:c r="L43" s="550" t="n"/>
      <x:c r="M43" s="550" t="n"/>
      <x:c r="N43" s="550" t="n"/>
      <x:c r="O43" s="545" t="n"/>
      <x:c r="P43" s="545" t="n"/>
      <x:c r="Q43" s="550" t="str">
        <x:f>IF(E43="","",IFERROR(VLOOKUP(E43,'2_Tính giá'!$A$12:$M$51,13,FALSE),""))</x:f>
      </x:c>
      <x:c r="R43" s="550" t="str">
        <x:f>IF(OR(A43="",H43="",Q43=""),"",H43*Q43)</x:f>
      </x:c>
      <x:c r="S43" s="550" t="str">
        <x:f>IF(A43="","",J43+M43-K43-L43)</x:f>
      </x:c>
      <x:c r="T43" s="550" t="str">
        <x:f>IF(A43="","",J43+M43-K43-L43-N43-R43)</x:f>
      </x:c>
      <x:c r="U43" s="545" t="n"/>
      <x:c r="V43" s="545" t="n"/>
    </x:row>
    <x:row r="44">
      <x:c r="A44" s="545" t="n"/>
      <x:c r="B44" s="549" t="n"/>
      <x:c r="C44" s="545" t="n"/>
      <x:c r="D44" s="545" t="n"/>
      <x:c r="E44" s="545" t="n"/>
      <x:c r="F44" s="545" t="n"/>
      <x:c r="G44" s="545" t="n"/>
      <x:c r="H44" s="545" t="n"/>
      <x:c r="I44" s="550" t="n"/>
      <x:c r="J44" s="550" t="str">
        <x:f>IF(A44="","",IFERROR(H44*I44,""))</x:f>
      </x:c>
      <x:c r="K44" s="550" t="n"/>
      <x:c r="L44" s="550" t="n"/>
      <x:c r="M44" s="550" t="n"/>
      <x:c r="N44" s="550" t="n"/>
      <x:c r="O44" s="545" t="n"/>
      <x:c r="P44" s="545" t="n"/>
      <x:c r="Q44" s="550" t="str">
        <x:f>IF(E44="","",IFERROR(VLOOKUP(E44,'2_Tính giá'!$A$12:$M$51,13,FALSE),""))</x:f>
      </x:c>
      <x:c r="R44" s="550" t="str">
        <x:f>IF(OR(A44="",H44="",Q44=""),"",H44*Q44)</x:f>
      </x:c>
      <x:c r="S44" s="550" t="str">
        <x:f>IF(A44="","",J44+M44-K44-L44)</x:f>
      </x:c>
      <x:c r="T44" s="550" t="str">
        <x:f>IF(A44="","",J44+M44-K44-L44-N44-R44)</x:f>
      </x:c>
      <x:c r="U44" s="545" t="n"/>
      <x:c r="V44" s="545" t="n"/>
    </x:row>
    <x:row r="45">
      <x:c r="A45" s="545" t="n"/>
      <x:c r="B45" s="549" t="n"/>
      <x:c r="C45" s="545" t="n"/>
      <x:c r="D45" s="545" t="n"/>
      <x:c r="E45" s="545" t="n"/>
      <x:c r="F45" s="545" t="n"/>
      <x:c r="G45" s="545" t="n"/>
      <x:c r="H45" s="545" t="n"/>
      <x:c r="I45" s="550" t="n"/>
      <x:c r="J45" s="550" t="str">
        <x:f>IF(A45="","",IFERROR(H45*I45,""))</x:f>
      </x:c>
      <x:c r="K45" s="550" t="n"/>
      <x:c r="L45" s="550" t="n"/>
      <x:c r="M45" s="550" t="n"/>
      <x:c r="N45" s="550" t="n"/>
      <x:c r="O45" s="545" t="n"/>
      <x:c r="P45" s="545" t="n"/>
      <x:c r="Q45" s="550" t="str">
        <x:f>IF(E45="","",IFERROR(VLOOKUP(E45,'2_Tính giá'!$A$12:$M$51,13,FALSE),""))</x:f>
      </x:c>
      <x:c r="R45" s="550" t="str">
        <x:f>IF(OR(A45="",H45="",Q45=""),"",H45*Q45)</x:f>
      </x:c>
      <x:c r="S45" s="550" t="str">
        <x:f>IF(A45="","",J45+M45-K45-L45)</x:f>
      </x:c>
      <x:c r="T45" s="550" t="str">
        <x:f>IF(A45="","",J45+M45-K45-L45-N45-R45)</x:f>
      </x:c>
      <x:c r="U45" s="545" t="n"/>
      <x:c r="V45" s="545" t="n"/>
    </x:row>
    <x:row r="46">
      <x:c r="A46" s="545" t="n"/>
      <x:c r="B46" s="549" t="n"/>
      <x:c r="C46" s="545" t="n"/>
      <x:c r="D46" s="545" t="n"/>
      <x:c r="E46" s="545" t="n"/>
      <x:c r="F46" s="545" t="n"/>
      <x:c r="G46" s="545" t="n"/>
      <x:c r="H46" s="545" t="n"/>
      <x:c r="I46" s="550" t="n"/>
      <x:c r="J46" s="550" t="str">
        <x:f>IF(A46="","",IFERROR(H46*I46,""))</x:f>
      </x:c>
      <x:c r="K46" s="550" t="n"/>
      <x:c r="L46" s="550" t="n"/>
      <x:c r="M46" s="550" t="n"/>
      <x:c r="N46" s="550" t="n"/>
      <x:c r="O46" s="545" t="n"/>
      <x:c r="P46" s="545" t="n"/>
      <x:c r="Q46" s="550" t="str">
        <x:f>IF(E46="","",IFERROR(VLOOKUP(E46,'2_Tính giá'!$A$12:$M$51,13,FALSE),""))</x:f>
      </x:c>
      <x:c r="R46" s="550" t="str">
        <x:f>IF(OR(A46="",H46="",Q46=""),"",H46*Q46)</x:f>
      </x:c>
      <x:c r="S46" s="550" t="str">
        <x:f>IF(A46="","",J46+M46-K46-L46)</x:f>
      </x:c>
      <x:c r="T46" s="550" t="str">
        <x:f>IF(A46="","",J46+M46-K46-L46-N46-R46)</x:f>
      </x:c>
      <x:c r="U46" s="545" t="n"/>
      <x:c r="V46" s="545" t="n"/>
    </x:row>
    <x:row r="47">
      <x:c r="A47" s="545" t="n"/>
      <x:c r="B47" s="549" t="n"/>
      <x:c r="C47" s="545" t="n"/>
      <x:c r="D47" s="545" t="n"/>
      <x:c r="E47" s="545" t="n"/>
      <x:c r="F47" s="545" t="n"/>
      <x:c r="G47" s="545" t="n"/>
      <x:c r="H47" s="545" t="n"/>
      <x:c r="I47" s="550" t="n"/>
      <x:c r="J47" s="550" t="str">
        <x:f>IF(A47="","",IFERROR(H47*I47,""))</x:f>
      </x:c>
      <x:c r="K47" s="550" t="n"/>
      <x:c r="L47" s="550" t="n"/>
      <x:c r="M47" s="550" t="n"/>
      <x:c r="N47" s="550" t="n"/>
      <x:c r="O47" s="545" t="n"/>
      <x:c r="P47" s="545" t="n"/>
      <x:c r="Q47" s="550" t="str">
        <x:f>IF(E47="","",IFERROR(VLOOKUP(E47,'2_Tính giá'!$A$12:$M$51,13,FALSE),""))</x:f>
      </x:c>
      <x:c r="R47" s="550" t="str">
        <x:f>IF(OR(A47="",H47="",Q47=""),"",H47*Q47)</x:f>
      </x:c>
      <x:c r="S47" s="550" t="str">
        <x:f>IF(A47="","",J47+M47-K47-L47)</x:f>
      </x:c>
      <x:c r="T47" s="550" t="str">
        <x:f>IF(A47="","",J47+M47-K47-L47-N47-R47)</x:f>
      </x:c>
      <x:c r="U47" s="545" t="n"/>
      <x:c r="V47" s="545" t="n"/>
    </x:row>
    <x:row r="48">
      <x:c r="A48" s="545" t="n"/>
      <x:c r="B48" s="549" t="n"/>
      <x:c r="C48" s="545" t="n"/>
      <x:c r="D48" s="545" t="n"/>
      <x:c r="E48" s="545" t="n"/>
      <x:c r="F48" s="545" t="n"/>
      <x:c r="G48" s="545" t="n"/>
      <x:c r="H48" s="545" t="n"/>
      <x:c r="I48" s="550" t="n"/>
      <x:c r="J48" s="550" t="str">
        <x:f>IF(A48="","",IFERROR(H48*I48,""))</x:f>
      </x:c>
      <x:c r="K48" s="550" t="n"/>
      <x:c r="L48" s="550" t="n"/>
      <x:c r="M48" s="550" t="n"/>
      <x:c r="N48" s="550" t="n"/>
      <x:c r="O48" s="545" t="n"/>
      <x:c r="P48" s="545" t="n"/>
      <x:c r="Q48" s="550" t="str">
        <x:f>IF(E48="","",IFERROR(VLOOKUP(E48,'2_Tính giá'!$A$12:$M$51,13,FALSE),""))</x:f>
      </x:c>
      <x:c r="R48" s="550" t="str">
        <x:f>IF(OR(A48="",H48="",Q48=""),"",H48*Q48)</x:f>
      </x:c>
      <x:c r="S48" s="550" t="str">
        <x:f>IF(A48="","",J48+M48-K48-L48)</x:f>
      </x:c>
      <x:c r="T48" s="550" t="str">
        <x:f>IF(A48="","",J48+M48-K48-L48-N48-R48)</x:f>
      </x:c>
      <x:c r="U48" s="545" t="n"/>
      <x:c r="V48" s="545" t="n"/>
    </x:row>
    <x:row r="49">
      <x:c r="A49" s="545" t="n"/>
      <x:c r="B49" s="549" t="n"/>
      <x:c r="C49" s="545" t="n"/>
      <x:c r="D49" s="545" t="n"/>
      <x:c r="E49" s="545" t="n"/>
      <x:c r="F49" s="545" t="n"/>
      <x:c r="G49" s="545" t="n"/>
      <x:c r="H49" s="545" t="n"/>
      <x:c r="I49" s="550" t="n"/>
      <x:c r="J49" s="550" t="str">
        <x:f>IF(A49="","",IFERROR(H49*I49,""))</x:f>
      </x:c>
      <x:c r="K49" s="550" t="n"/>
      <x:c r="L49" s="550" t="n"/>
      <x:c r="M49" s="550" t="n"/>
      <x:c r="N49" s="550" t="n"/>
      <x:c r="O49" s="545" t="n"/>
      <x:c r="P49" s="545" t="n"/>
      <x:c r="Q49" s="550" t="str">
        <x:f>IF(E49="","",IFERROR(VLOOKUP(E49,'2_Tính giá'!$A$12:$M$51,13,FALSE),""))</x:f>
      </x:c>
      <x:c r="R49" s="550" t="str">
        <x:f>IF(OR(A49="",H49="",Q49=""),"",H49*Q49)</x:f>
      </x:c>
      <x:c r="S49" s="550" t="str">
        <x:f>IF(A49="","",J49+M49-K49-L49)</x:f>
      </x:c>
      <x:c r="T49" s="550" t="str">
        <x:f>IF(A49="","",J49+M49-K49-L49-N49-R49)</x:f>
      </x:c>
      <x:c r="U49" s="545" t="n"/>
      <x:c r="V49" s="545" t="n"/>
    </x:row>
    <x:row r="50">
      <x:c r="A50" s="545" t="n"/>
      <x:c r="B50" s="549" t="n"/>
      <x:c r="C50" s="545" t="n"/>
      <x:c r="D50" s="545" t="n"/>
      <x:c r="E50" s="545" t="n"/>
      <x:c r="F50" s="545" t="n"/>
      <x:c r="G50" s="545" t="n"/>
      <x:c r="H50" s="545" t="n"/>
      <x:c r="I50" s="550" t="n"/>
      <x:c r="J50" s="550" t="str">
        <x:f>IF(A50="","",IFERROR(H50*I50,""))</x:f>
      </x:c>
      <x:c r="K50" s="550" t="n"/>
      <x:c r="L50" s="550" t="n"/>
      <x:c r="M50" s="550" t="n"/>
      <x:c r="N50" s="550" t="n"/>
      <x:c r="O50" s="545" t="n"/>
      <x:c r="P50" s="545" t="n"/>
      <x:c r="Q50" s="550" t="str">
        <x:f>IF(E50="","",IFERROR(VLOOKUP(E50,'2_Tính giá'!$A$12:$M$51,13,FALSE),""))</x:f>
      </x:c>
      <x:c r="R50" s="550" t="str">
        <x:f>IF(OR(A50="",H50="",Q50=""),"",H50*Q50)</x:f>
      </x:c>
      <x:c r="S50" s="550" t="str">
        <x:f>IF(A50="","",J50+M50-K50-L50)</x:f>
      </x:c>
      <x:c r="T50" s="550" t="str">
        <x:f>IF(A50="","",J50+M50-K50-L50-N50-R50)</x:f>
      </x:c>
      <x:c r="U50" s="545" t="n"/>
      <x:c r="V50" s="545" t="n"/>
    </x:row>
    <x:row r="51">
      <x:c r="A51" s="545" t="n"/>
      <x:c r="B51" s="549" t="n"/>
      <x:c r="C51" s="545" t="n"/>
      <x:c r="D51" s="545" t="n"/>
      <x:c r="E51" s="545" t="n"/>
      <x:c r="F51" s="545" t="n"/>
      <x:c r="G51" s="545" t="n"/>
      <x:c r="H51" s="545" t="n"/>
      <x:c r="I51" s="550" t="n"/>
      <x:c r="J51" s="550" t="str">
        <x:f>IF(A51="","",IFERROR(H51*I51,""))</x:f>
      </x:c>
      <x:c r="K51" s="550" t="n"/>
      <x:c r="L51" s="550" t="n"/>
      <x:c r="M51" s="550" t="n"/>
      <x:c r="N51" s="550" t="n"/>
      <x:c r="O51" s="545" t="n"/>
      <x:c r="P51" s="545" t="n"/>
      <x:c r="Q51" s="550" t="str">
        <x:f>IF(E51="","",IFERROR(VLOOKUP(E51,'2_Tính giá'!$A$12:$M$51,13,FALSE),""))</x:f>
      </x:c>
      <x:c r="R51" s="550" t="str">
        <x:f>IF(OR(A51="",H51="",Q51=""),"",H51*Q51)</x:f>
      </x:c>
      <x:c r="S51" s="550" t="str">
        <x:f>IF(A51="","",J51+M51-K51-L51)</x:f>
      </x:c>
      <x:c r="T51" s="550" t="str">
        <x:f>IF(A51="","",J51+M51-K51-L51-N51-R51)</x:f>
      </x:c>
      <x:c r="U51" s="545" t="n"/>
      <x:c r="V51" s="545" t="n"/>
    </x:row>
    <x:row r="52">
      <x:c r="A52" s="545" t="n"/>
      <x:c r="B52" s="549" t="n"/>
      <x:c r="C52" s="545" t="n"/>
      <x:c r="D52" s="545" t="n"/>
      <x:c r="E52" s="545" t="n"/>
      <x:c r="F52" s="545" t="n"/>
      <x:c r="G52" s="545" t="n"/>
      <x:c r="H52" s="545" t="n"/>
      <x:c r="I52" s="550" t="n"/>
      <x:c r="J52" s="550" t="str">
        <x:f>IF(A52="","",IFERROR(H52*I52,""))</x:f>
      </x:c>
      <x:c r="K52" s="550" t="n"/>
      <x:c r="L52" s="550" t="n"/>
      <x:c r="M52" s="550" t="n"/>
      <x:c r="N52" s="550" t="n"/>
      <x:c r="O52" s="545" t="n"/>
      <x:c r="P52" s="545" t="n"/>
      <x:c r="Q52" s="550" t="str">
        <x:f>IF(E52="","",IFERROR(VLOOKUP(E52,'2_Tính giá'!$A$12:$M$51,13,FALSE),""))</x:f>
      </x:c>
      <x:c r="R52" s="550" t="str">
        <x:f>IF(OR(A52="",H52="",Q52=""),"",H52*Q52)</x:f>
      </x:c>
      <x:c r="S52" s="550" t="str">
        <x:f>IF(A52="","",J52+M52-K52-L52)</x:f>
      </x:c>
      <x:c r="T52" s="550" t="str">
        <x:f>IF(A52="","",J52+M52-K52-L52-N52-R52)</x:f>
      </x:c>
      <x:c r="U52" s="545" t="n"/>
      <x:c r="V52" s="545" t="n"/>
    </x:row>
    <x:row r="53">
      <x:c r="A53" s="545" t="n"/>
      <x:c r="B53" s="549" t="n"/>
      <x:c r="C53" s="545" t="n"/>
      <x:c r="D53" s="545" t="n"/>
      <x:c r="E53" s="545" t="n"/>
      <x:c r="F53" s="545" t="n"/>
      <x:c r="G53" s="545" t="n"/>
      <x:c r="H53" s="545" t="n"/>
      <x:c r="I53" s="550" t="n"/>
      <x:c r="J53" s="550" t="str">
        <x:f>IF(A53="","",IFERROR(H53*I53,""))</x:f>
      </x:c>
      <x:c r="K53" s="550" t="n"/>
      <x:c r="L53" s="550" t="n"/>
      <x:c r="M53" s="550" t="n"/>
      <x:c r="N53" s="550" t="n"/>
      <x:c r="O53" s="545" t="n"/>
      <x:c r="P53" s="545" t="n"/>
      <x:c r="Q53" s="550" t="str">
        <x:f>IF(E53="","",IFERROR(VLOOKUP(E53,'2_Tính giá'!$A$12:$M$51,13,FALSE),""))</x:f>
      </x:c>
      <x:c r="R53" s="550" t="str">
        <x:f>IF(OR(A53="",H53="",Q53=""),"",H53*Q53)</x:f>
      </x:c>
      <x:c r="S53" s="550" t="str">
        <x:f>IF(A53="","",J53+M53-K53-L53)</x:f>
      </x:c>
      <x:c r="T53" s="550" t="str">
        <x:f>IF(A53="","",J53+M53-K53-L53-N53-R53)</x:f>
      </x:c>
      <x:c r="U53" s="545" t="n"/>
      <x:c r="V53" s="545" t="n"/>
    </x:row>
    <x:row r="54">
      <x:c r="A54" s="545" t="n"/>
      <x:c r="B54" s="549" t="n"/>
      <x:c r="C54" s="545" t="n"/>
      <x:c r="D54" s="545" t="n"/>
      <x:c r="E54" s="545" t="n"/>
      <x:c r="F54" s="545" t="n"/>
      <x:c r="G54" s="545" t="n"/>
      <x:c r="H54" s="545" t="n"/>
      <x:c r="I54" s="550" t="n"/>
      <x:c r="J54" s="550" t="str">
        <x:f>IF(A54="","",IFERROR(H54*I54,""))</x:f>
      </x:c>
      <x:c r="K54" s="550" t="n"/>
      <x:c r="L54" s="550" t="n"/>
      <x:c r="M54" s="550" t="n"/>
      <x:c r="N54" s="550" t="n"/>
      <x:c r="O54" s="545" t="n"/>
      <x:c r="P54" s="545" t="n"/>
      <x:c r="Q54" s="550" t="str">
        <x:f>IF(E54="","",IFERROR(VLOOKUP(E54,'2_Tính giá'!$A$12:$M$51,13,FALSE),""))</x:f>
      </x:c>
      <x:c r="R54" s="550" t="str">
        <x:f>IF(OR(A54="",H54="",Q54=""),"",H54*Q54)</x:f>
      </x:c>
      <x:c r="S54" s="550" t="str">
        <x:f>IF(A54="","",J54+M54-K54-L54)</x:f>
      </x:c>
      <x:c r="T54" s="550" t="str">
        <x:f>IF(A54="","",J54+M54-K54-L54-N54-R54)</x:f>
      </x:c>
      <x:c r="U54" s="545" t="n"/>
      <x:c r="V54" s="545" t="n"/>
    </x:row>
    <x:row r="55">
      <x:c r="A55" s="545" t="n"/>
      <x:c r="B55" s="549" t="n"/>
      <x:c r="C55" s="545" t="n"/>
      <x:c r="D55" s="545" t="n"/>
      <x:c r="E55" s="545" t="n"/>
      <x:c r="F55" s="545" t="n"/>
      <x:c r="G55" s="545" t="n"/>
      <x:c r="H55" s="545" t="n"/>
      <x:c r="I55" s="550" t="n"/>
      <x:c r="J55" s="550" t="str">
        <x:f>IF(A55="","",IFERROR(H55*I55,""))</x:f>
      </x:c>
      <x:c r="K55" s="550" t="n"/>
      <x:c r="L55" s="550" t="n"/>
      <x:c r="M55" s="550" t="n"/>
      <x:c r="N55" s="550" t="n"/>
      <x:c r="O55" s="545" t="n"/>
      <x:c r="P55" s="545" t="n"/>
      <x:c r="Q55" s="550" t="str">
        <x:f>IF(E55="","",IFERROR(VLOOKUP(E55,'2_Tính giá'!$A$12:$M$51,13,FALSE),""))</x:f>
      </x:c>
      <x:c r="R55" s="550" t="str">
        <x:f>IF(OR(A55="",H55="",Q55=""),"",H55*Q55)</x:f>
      </x:c>
      <x:c r="S55" s="550" t="str">
        <x:f>IF(A55="","",J55+M55-K55-L55)</x:f>
      </x:c>
      <x:c r="T55" s="550" t="str">
        <x:f>IF(A55="","",J55+M55-K55-L55-N55-R55)</x:f>
      </x:c>
      <x:c r="U55" s="545" t="n"/>
      <x:c r="V55" s="545" t="n"/>
    </x:row>
    <x:row r="56">
      <x:c r="A56" s="545" t="n"/>
      <x:c r="B56" s="549" t="n"/>
      <x:c r="C56" s="545" t="n"/>
      <x:c r="D56" s="545" t="n"/>
      <x:c r="E56" s="545" t="n"/>
      <x:c r="F56" s="545" t="n"/>
      <x:c r="G56" s="545" t="n"/>
      <x:c r="H56" s="545" t="n"/>
      <x:c r="I56" s="550" t="n"/>
      <x:c r="J56" s="550" t="str">
        <x:f>IF(A56="","",IFERROR(H56*I56,""))</x:f>
      </x:c>
      <x:c r="K56" s="550" t="n"/>
      <x:c r="L56" s="550" t="n"/>
      <x:c r="M56" s="550" t="n"/>
      <x:c r="N56" s="550" t="n"/>
      <x:c r="O56" s="545" t="n"/>
      <x:c r="P56" s="545" t="n"/>
      <x:c r="Q56" s="550" t="str">
        <x:f>IF(E56="","",IFERROR(VLOOKUP(E56,'2_Tính giá'!$A$12:$M$51,13,FALSE),""))</x:f>
      </x:c>
      <x:c r="R56" s="550" t="str">
        <x:f>IF(OR(A56="",H56="",Q56=""),"",H56*Q56)</x:f>
      </x:c>
      <x:c r="S56" s="550" t="str">
        <x:f>IF(A56="","",J56+M56-K56-L56)</x:f>
      </x:c>
      <x:c r="T56" s="550" t="str">
        <x:f>IF(A56="","",J56+M56-K56-L56-N56-R56)</x:f>
      </x:c>
      <x:c r="U56" s="545" t="n"/>
      <x:c r="V56" s="545" t="n"/>
    </x:row>
    <x:row r="57">
      <x:c r="A57" s="545" t="n"/>
      <x:c r="B57" s="549" t="n"/>
      <x:c r="C57" s="545" t="n"/>
      <x:c r="D57" s="545" t="n"/>
      <x:c r="E57" s="545" t="n"/>
      <x:c r="F57" s="545" t="n"/>
      <x:c r="G57" s="545" t="n"/>
      <x:c r="H57" s="545" t="n"/>
      <x:c r="I57" s="550" t="n"/>
      <x:c r="J57" s="550" t="str">
        <x:f>IF(A57="","",IFERROR(H57*I57,""))</x:f>
      </x:c>
      <x:c r="K57" s="550" t="n"/>
      <x:c r="L57" s="550" t="n"/>
      <x:c r="M57" s="550" t="n"/>
      <x:c r="N57" s="550" t="n"/>
      <x:c r="O57" s="545" t="n"/>
      <x:c r="P57" s="545" t="n"/>
      <x:c r="Q57" s="550" t="str">
        <x:f>IF(E57="","",IFERROR(VLOOKUP(E57,'2_Tính giá'!$A$12:$M$51,13,FALSE),""))</x:f>
      </x:c>
      <x:c r="R57" s="550" t="str">
        <x:f>IF(OR(A57="",H57="",Q57=""),"",H57*Q57)</x:f>
      </x:c>
      <x:c r="S57" s="550" t="str">
        <x:f>IF(A57="","",J57+M57-K57-L57)</x:f>
      </x:c>
      <x:c r="T57" s="550" t="str">
        <x:f>IF(A57="","",J57+M57-K57-L57-N57-R57)</x:f>
      </x:c>
      <x:c r="U57" s="545" t="n"/>
      <x:c r="V57" s="545" t="n"/>
    </x:row>
    <x:row r="58">
      <x:c r="A58" s="545" t="n"/>
      <x:c r="B58" s="549" t="n"/>
      <x:c r="C58" s="545" t="n"/>
      <x:c r="D58" s="545" t="n"/>
      <x:c r="E58" s="545" t="n"/>
      <x:c r="F58" s="545" t="n"/>
      <x:c r="G58" s="545" t="n"/>
      <x:c r="H58" s="545" t="n"/>
      <x:c r="I58" s="550" t="n"/>
      <x:c r="J58" s="550" t="str">
        <x:f>IF(A58="","",IFERROR(H58*I58,""))</x:f>
      </x:c>
      <x:c r="K58" s="550" t="n"/>
      <x:c r="L58" s="550" t="n"/>
      <x:c r="M58" s="550" t="n"/>
      <x:c r="N58" s="550" t="n"/>
      <x:c r="O58" s="545" t="n"/>
      <x:c r="P58" s="545" t="n"/>
      <x:c r="Q58" s="550" t="str">
        <x:f>IF(E58="","",IFERROR(VLOOKUP(E58,'2_Tính giá'!$A$12:$M$51,13,FALSE),""))</x:f>
      </x:c>
      <x:c r="R58" s="550" t="str">
        <x:f>IF(OR(A58="",H58="",Q58=""),"",H58*Q58)</x:f>
      </x:c>
      <x:c r="S58" s="550" t="str">
        <x:f>IF(A58="","",J58+M58-K58-L58)</x:f>
      </x:c>
      <x:c r="T58" s="550" t="str">
        <x:f>IF(A58="","",J58+M58-K58-L58-N58-R58)</x:f>
      </x:c>
      <x:c r="U58" s="545" t="n"/>
      <x:c r="V58" s="545" t="n"/>
    </x:row>
    <x:row r="59">
      <x:c r="A59" s="545" t="n"/>
      <x:c r="B59" s="549" t="n"/>
      <x:c r="C59" s="545" t="n"/>
      <x:c r="D59" s="545" t="n"/>
      <x:c r="E59" s="545" t="n"/>
      <x:c r="F59" s="545" t="n"/>
      <x:c r="G59" s="545" t="n"/>
      <x:c r="H59" s="545" t="n"/>
      <x:c r="I59" s="550" t="n"/>
      <x:c r="J59" s="550" t="str">
        <x:f>IF(A59="","",IFERROR(H59*I59,""))</x:f>
      </x:c>
      <x:c r="K59" s="550" t="n"/>
      <x:c r="L59" s="550" t="n"/>
      <x:c r="M59" s="550" t="n"/>
      <x:c r="N59" s="550" t="n"/>
      <x:c r="O59" s="545" t="n"/>
      <x:c r="P59" s="545" t="n"/>
      <x:c r="Q59" s="550" t="str">
        <x:f>IF(E59="","",IFERROR(VLOOKUP(E59,'2_Tính giá'!$A$12:$M$51,13,FALSE),""))</x:f>
      </x:c>
      <x:c r="R59" s="550" t="str">
        <x:f>IF(OR(A59="",H59="",Q59=""),"",H59*Q59)</x:f>
      </x:c>
      <x:c r="S59" s="550" t="str">
        <x:f>IF(A59="","",J59+M59-K59-L59)</x:f>
      </x:c>
      <x:c r="T59" s="550" t="str">
        <x:f>IF(A59="","",J59+M59-K59-L59-N59-R59)</x:f>
      </x:c>
      <x:c r="U59" s="545" t="n"/>
      <x:c r="V59" s="545" t="n"/>
    </x:row>
    <x:row r="60">
      <x:c r="A60" s="545" t="n"/>
      <x:c r="B60" s="549" t="n"/>
      <x:c r="C60" s="545" t="n"/>
      <x:c r="D60" s="545" t="n"/>
      <x:c r="E60" s="545" t="n"/>
      <x:c r="F60" s="545" t="n"/>
      <x:c r="G60" s="545" t="n"/>
      <x:c r="H60" s="545" t="n"/>
      <x:c r="I60" s="550" t="n"/>
      <x:c r="J60" s="550" t="str">
        <x:f>IF(A60="","",IFERROR(H60*I60,""))</x:f>
      </x:c>
      <x:c r="K60" s="550" t="n"/>
      <x:c r="L60" s="550" t="n"/>
      <x:c r="M60" s="550" t="n"/>
      <x:c r="N60" s="550" t="n"/>
      <x:c r="O60" s="545" t="n"/>
      <x:c r="P60" s="545" t="n"/>
      <x:c r="Q60" s="550" t="str">
        <x:f>IF(E60="","",IFERROR(VLOOKUP(E60,'2_Tính giá'!$A$12:$M$51,13,FALSE),""))</x:f>
      </x:c>
      <x:c r="R60" s="550" t="str">
        <x:f>IF(OR(A60="",H60="",Q60=""),"",H60*Q60)</x:f>
      </x:c>
      <x:c r="S60" s="550" t="str">
        <x:f>IF(A60="","",J60+M60-K60-L60)</x:f>
      </x:c>
      <x:c r="T60" s="550" t="str">
        <x:f>IF(A60="","",J60+M60-K60-L60-N60-R60)</x:f>
      </x:c>
      <x:c r="U60" s="545" t="n"/>
      <x:c r="V60" s="545" t="n"/>
    </x:row>
    <x:row r="61">
      <x:c r="A61" s="545" t="n"/>
      <x:c r="B61" s="549" t="n"/>
      <x:c r="C61" s="545" t="n"/>
      <x:c r="D61" s="545" t="n"/>
      <x:c r="E61" s="545" t="n"/>
      <x:c r="F61" s="545" t="n"/>
      <x:c r="G61" s="545" t="n"/>
      <x:c r="H61" s="545" t="n"/>
      <x:c r="I61" s="550" t="n"/>
      <x:c r="J61" s="550" t="str">
        <x:f>IF(A61="","",IFERROR(H61*I61,""))</x:f>
      </x:c>
      <x:c r="K61" s="550" t="n"/>
      <x:c r="L61" s="550" t="n"/>
      <x:c r="M61" s="550" t="n"/>
      <x:c r="N61" s="550" t="n"/>
      <x:c r="O61" s="545" t="n"/>
      <x:c r="P61" s="545" t="n"/>
      <x:c r="Q61" s="550" t="str">
        <x:f>IF(E61="","",IFERROR(VLOOKUP(E61,'2_Tính giá'!$A$12:$M$51,13,FALSE),""))</x:f>
      </x:c>
      <x:c r="R61" s="550" t="str">
        <x:f>IF(OR(A61="",H61="",Q61=""),"",H61*Q61)</x:f>
      </x:c>
      <x:c r="S61" s="550" t="str">
        <x:f>IF(A61="","",J61+M61-K61-L61)</x:f>
      </x:c>
      <x:c r="T61" s="550" t="str">
        <x:f>IF(A61="","",J61+M61-K61-L61-N61-R61)</x:f>
      </x:c>
      <x:c r="U61" s="545" t="n"/>
      <x:c r="V61" s="545" t="n"/>
    </x:row>
    <x:row r="62">
      <x:c r="A62" s="545" t="n"/>
      <x:c r="B62" s="549" t="n"/>
      <x:c r="C62" s="545" t="n"/>
      <x:c r="D62" s="545" t="n"/>
      <x:c r="E62" s="545" t="n"/>
      <x:c r="F62" s="545" t="n"/>
      <x:c r="G62" s="545" t="n"/>
      <x:c r="H62" s="545" t="n"/>
      <x:c r="I62" s="550" t="n"/>
      <x:c r="J62" s="550" t="str">
        <x:f>IF(A62="","",IFERROR(H62*I62,""))</x:f>
      </x:c>
      <x:c r="K62" s="550" t="n"/>
      <x:c r="L62" s="550" t="n"/>
      <x:c r="M62" s="550" t="n"/>
      <x:c r="N62" s="550" t="n"/>
      <x:c r="O62" s="545" t="n"/>
      <x:c r="P62" s="545" t="n"/>
      <x:c r="Q62" s="550" t="str">
        <x:f>IF(E62="","",IFERROR(VLOOKUP(E62,'2_Tính giá'!$A$12:$M$51,13,FALSE),""))</x:f>
      </x:c>
      <x:c r="R62" s="550" t="str">
        <x:f>IF(OR(A62="",H62="",Q62=""),"",H62*Q62)</x:f>
      </x:c>
      <x:c r="S62" s="550" t="str">
        <x:f>IF(A62="","",J62+M62-K62-L62)</x:f>
      </x:c>
      <x:c r="T62" s="550" t="str">
        <x:f>IF(A62="","",J62+M62-K62-L62-N62-R62)</x:f>
      </x:c>
      <x:c r="U62" s="545" t="n"/>
      <x:c r="V62" s="545" t="n"/>
    </x:row>
    <x:row r="63">
      <x:c r="A63" s="545" t="n"/>
      <x:c r="B63" s="549" t="n"/>
      <x:c r="C63" s="545" t="n"/>
      <x:c r="D63" s="545" t="n"/>
      <x:c r="E63" s="545" t="n"/>
      <x:c r="F63" s="545" t="n"/>
      <x:c r="G63" s="545" t="n"/>
      <x:c r="H63" s="545" t="n"/>
      <x:c r="I63" s="550" t="n"/>
      <x:c r="J63" s="550" t="str">
        <x:f>IF(A63="","",IFERROR(H63*I63,""))</x:f>
      </x:c>
      <x:c r="K63" s="550" t="n"/>
      <x:c r="L63" s="550" t="n"/>
      <x:c r="M63" s="550" t="n"/>
      <x:c r="N63" s="550" t="n"/>
      <x:c r="O63" s="545" t="n"/>
      <x:c r="P63" s="545" t="n"/>
      <x:c r="Q63" s="550" t="str">
        <x:f>IF(E63="","",IFERROR(VLOOKUP(E63,'2_Tính giá'!$A$12:$M$51,13,FALSE),""))</x:f>
      </x:c>
      <x:c r="R63" s="550" t="str">
        <x:f>IF(OR(A63="",H63="",Q63=""),"",H63*Q63)</x:f>
      </x:c>
      <x:c r="S63" s="550" t="str">
        <x:f>IF(A63="","",J63+M63-K63-L63)</x:f>
      </x:c>
      <x:c r="T63" s="550" t="str">
        <x:f>IF(A63="","",J63+M63-K63-L63-N63-R63)</x:f>
      </x:c>
      <x:c r="U63" s="545" t="n"/>
      <x:c r="V63" s="545" t="n"/>
    </x:row>
    <x:row r="64">
      <x:c r="A64" s="545" t="n"/>
      <x:c r="B64" s="549" t="n"/>
      <x:c r="C64" s="545" t="n"/>
      <x:c r="D64" s="545" t="n"/>
      <x:c r="E64" s="545" t="n"/>
      <x:c r="F64" s="545" t="n"/>
      <x:c r="G64" s="545" t="n"/>
      <x:c r="H64" s="545" t="n"/>
      <x:c r="I64" s="550" t="n"/>
      <x:c r="J64" s="550" t="str">
        <x:f>IF(A64="","",IFERROR(H64*I64,""))</x:f>
      </x:c>
      <x:c r="K64" s="550" t="n"/>
      <x:c r="L64" s="550" t="n"/>
      <x:c r="M64" s="550" t="n"/>
      <x:c r="N64" s="550" t="n"/>
      <x:c r="O64" s="545" t="n"/>
      <x:c r="P64" s="545" t="n"/>
      <x:c r="Q64" s="550" t="str">
        <x:f>IF(E64="","",IFERROR(VLOOKUP(E64,'2_Tính giá'!$A$12:$M$51,13,FALSE),""))</x:f>
      </x:c>
      <x:c r="R64" s="550" t="str">
        <x:f>IF(OR(A64="",H64="",Q64=""),"",H64*Q64)</x:f>
      </x:c>
      <x:c r="S64" s="550" t="str">
        <x:f>IF(A64="","",J64+M64-K64-L64)</x:f>
      </x:c>
      <x:c r="T64" s="550" t="str">
        <x:f>IF(A64="","",J64+M64-K64-L64-N64-R64)</x:f>
      </x:c>
      <x:c r="U64" s="545" t="n"/>
      <x:c r="V64" s="545" t="n"/>
    </x:row>
    <x:row r="65">
      <x:c r="A65" s="545" t="n"/>
      <x:c r="B65" s="549" t="n"/>
      <x:c r="C65" s="545" t="n"/>
      <x:c r="D65" s="545" t="n"/>
      <x:c r="E65" s="545" t="n"/>
      <x:c r="F65" s="545" t="n"/>
      <x:c r="G65" s="545" t="n"/>
      <x:c r="H65" s="545" t="n"/>
      <x:c r="I65" s="550" t="n"/>
      <x:c r="J65" s="550" t="str">
        <x:f>IF(A65="","",IFERROR(H65*I65,""))</x:f>
      </x:c>
      <x:c r="K65" s="550" t="n"/>
      <x:c r="L65" s="550" t="n"/>
      <x:c r="M65" s="550" t="n"/>
      <x:c r="N65" s="550" t="n"/>
      <x:c r="O65" s="545" t="n"/>
      <x:c r="P65" s="545" t="n"/>
      <x:c r="Q65" s="550" t="str">
        <x:f>IF(E65="","",IFERROR(VLOOKUP(E65,'2_Tính giá'!$A$12:$M$51,13,FALSE),""))</x:f>
      </x:c>
      <x:c r="R65" s="550" t="str">
        <x:f>IF(OR(A65="",H65="",Q65=""),"",H65*Q65)</x:f>
      </x:c>
      <x:c r="S65" s="550" t="str">
        <x:f>IF(A65="","",J65+M65-K65-L65)</x:f>
      </x:c>
      <x:c r="T65" s="550" t="str">
        <x:f>IF(A65="","",J65+M65-K65-L65-N65-R65)</x:f>
      </x:c>
      <x:c r="U65" s="545" t="n"/>
      <x:c r="V65" s="545" t="n"/>
    </x:row>
    <x:row r="66">
      <x:c r="A66" s="545" t="n"/>
      <x:c r="B66" s="549" t="n"/>
      <x:c r="C66" s="545" t="n"/>
      <x:c r="D66" s="545" t="n"/>
      <x:c r="E66" s="545" t="n"/>
      <x:c r="F66" s="545" t="n"/>
      <x:c r="G66" s="545" t="n"/>
      <x:c r="H66" s="545" t="n"/>
      <x:c r="I66" s="550" t="n"/>
      <x:c r="J66" s="550" t="str">
        <x:f>IF(A66="","",IFERROR(H66*I66,""))</x:f>
      </x:c>
      <x:c r="K66" s="550" t="n"/>
      <x:c r="L66" s="550" t="n"/>
      <x:c r="M66" s="550" t="n"/>
      <x:c r="N66" s="550" t="n"/>
      <x:c r="O66" s="545" t="n"/>
      <x:c r="P66" s="545" t="n"/>
      <x:c r="Q66" s="550" t="str">
        <x:f>IF(E66="","",IFERROR(VLOOKUP(E66,'2_Tính giá'!$A$12:$M$51,13,FALSE),""))</x:f>
      </x:c>
      <x:c r="R66" s="550" t="str">
        <x:f>IF(OR(A66="",H66="",Q66=""),"",H66*Q66)</x:f>
      </x:c>
      <x:c r="S66" s="550" t="str">
        <x:f>IF(A66="","",J66+M66-K66-L66)</x:f>
      </x:c>
      <x:c r="T66" s="550" t="str">
        <x:f>IF(A66="","",J66+M66-K66-L66-N66-R66)</x:f>
      </x:c>
      <x:c r="U66" s="545" t="n"/>
      <x:c r="V66" s="545" t="n"/>
    </x:row>
    <x:row r="67">
      <x:c r="A67" s="545" t="n"/>
      <x:c r="B67" s="549" t="n"/>
      <x:c r="C67" s="545" t="n"/>
      <x:c r="D67" s="545" t="n"/>
      <x:c r="E67" s="545" t="n"/>
      <x:c r="F67" s="545" t="n"/>
      <x:c r="G67" s="545" t="n"/>
      <x:c r="H67" s="545" t="n"/>
      <x:c r="I67" s="550" t="n"/>
      <x:c r="J67" s="550" t="str">
        <x:f>IF(A67="","",IFERROR(H67*I67,""))</x:f>
      </x:c>
      <x:c r="K67" s="550" t="n"/>
      <x:c r="L67" s="550" t="n"/>
      <x:c r="M67" s="550" t="n"/>
      <x:c r="N67" s="550" t="n"/>
      <x:c r="O67" s="545" t="n"/>
      <x:c r="P67" s="545" t="n"/>
      <x:c r="Q67" s="550" t="str">
        <x:f>IF(E67="","",IFERROR(VLOOKUP(E67,'2_Tính giá'!$A$12:$M$51,13,FALSE),""))</x:f>
      </x:c>
      <x:c r="R67" s="550" t="str">
        <x:f>IF(OR(A67="",H67="",Q67=""),"",H67*Q67)</x:f>
      </x:c>
      <x:c r="S67" s="550" t="str">
        <x:f>IF(A67="","",J67+M67-K67-L67)</x:f>
      </x:c>
      <x:c r="T67" s="550" t="str">
        <x:f>IF(A67="","",J67+M67-K67-L67-N67-R67)</x:f>
      </x:c>
      <x:c r="U67" s="545" t="n"/>
      <x:c r="V67" s="545" t="n"/>
    </x:row>
    <x:row r="68">
      <x:c r="A68" s="545" t="n"/>
      <x:c r="B68" s="549" t="n"/>
      <x:c r="C68" s="545" t="n"/>
      <x:c r="D68" s="545" t="n"/>
      <x:c r="E68" s="545" t="n"/>
      <x:c r="F68" s="545" t="n"/>
      <x:c r="G68" s="545" t="n"/>
      <x:c r="H68" s="545" t="n"/>
      <x:c r="I68" s="550" t="n"/>
      <x:c r="J68" s="550" t="str">
        <x:f>IF(A68="","",IFERROR(H68*I68,""))</x:f>
      </x:c>
      <x:c r="K68" s="550" t="n"/>
      <x:c r="L68" s="550" t="n"/>
      <x:c r="M68" s="550" t="n"/>
      <x:c r="N68" s="550" t="n"/>
      <x:c r="O68" s="545" t="n"/>
      <x:c r="P68" s="545" t="n"/>
      <x:c r="Q68" s="550" t="str">
        <x:f>IF(E68="","",IFERROR(VLOOKUP(E68,'2_Tính giá'!$A$12:$M$51,13,FALSE),""))</x:f>
      </x:c>
      <x:c r="R68" s="550" t="str">
        <x:f>IF(OR(A68="",H68="",Q68=""),"",H68*Q68)</x:f>
      </x:c>
      <x:c r="S68" s="550" t="str">
        <x:f>IF(A68="","",J68+M68-K68-L68)</x:f>
      </x:c>
      <x:c r="T68" s="550" t="str">
        <x:f>IF(A68="","",J68+M68-K68-L68-N68-R68)</x:f>
      </x:c>
      <x:c r="U68" s="545" t="n"/>
      <x:c r="V68" s="545" t="n"/>
    </x:row>
    <x:row r="69">
      <x:c r="A69" s="545" t="n"/>
      <x:c r="B69" s="549" t="n"/>
      <x:c r="C69" s="545" t="n"/>
      <x:c r="D69" s="545" t="n"/>
      <x:c r="E69" s="545" t="n"/>
      <x:c r="F69" s="545" t="n"/>
      <x:c r="G69" s="545" t="n"/>
      <x:c r="H69" s="545" t="n"/>
      <x:c r="I69" s="550" t="n"/>
      <x:c r="J69" s="550" t="str">
        <x:f>IF(A69="","",IFERROR(H69*I69,""))</x:f>
      </x:c>
      <x:c r="K69" s="550" t="n"/>
      <x:c r="L69" s="550" t="n"/>
      <x:c r="M69" s="550" t="n"/>
      <x:c r="N69" s="550" t="n"/>
      <x:c r="O69" s="545" t="n"/>
      <x:c r="P69" s="545" t="n"/>
      <x:c r="Q69" s="550" t="str">
        <x:f>IF(E69="","",IFERROR(VLOOKUP(E69,'2_Tính giá'!$A$12:$M$51,13,FALSE),""))</x:f>
      </x:c>
      <x:c r="R69" s="550" t="str">
        <x:f>IF(OR(A69="",H69="",Q69=""),"",H69*Q69)</x:f>
      </x:c>
      <x:c r="S69" s="550" t="str">
        <x:f>IF(A69="","",J69+M69-K69-L69)</x:f>
      </x:c>
      <x:c r="T69" s="550" t="str">
        <x:f>IF(A69="","",J69+M69-K69-L69-N69-R69)</x:f>
      </x:c>
      <x:c r="U69" s="545" t="n"/>
      <x:c r="V69" s="545" t="n"/>
    </x:row>
    <x:row r="70">
      <x:c r="A70" s="545" t="n"/>
      <x:c r="B70" s="549" t="n"/>
      <x:c r="C70" s="545" t="n"/>
      <x:c r="D70" s="545" t="n"/>
      <x:c r="E70" s="545" t="n"/>
      <x:c r="F70" s="545" t="n"/>
      <x:c r="G70" s="545" t="n"/>
      <x:c r="H70" s="545" t="n"/>
      <x:c r="I70" s="550" t="n"/>
      <x:c r="J70" s="550" t="str">
        <x:f>IF(A70="","",IFERROR(H70*I70,""))</x:f>
      </x:c>
      <x:c r="K70" s="550" t="n"/>
      <x:c r="L70" s="550" t="n"/>
      <x:c r="M70" s="550" t="n"/>
      <x:c r="N70" s="550" t="n"/>
      <x:c r="O70" s="545" t="n"/>
      <x:c r="P70" s="545" t="n"/>
      <x:c r="Q70" s="550" t="str">
        <x:f>IF(E70="","",IFERROR(VLOOKUP(E70,'2_Tính giá'!$A$12:$M$51,13,FALSE),""))</x:f>
      </x:c>
      <x:c r="R70" s="550" t="str">
        <x:f>IF(OR(A70="",H70="",Q70=""),"",H70*Q70)</x:f>
      </x:c>
      <x:c r="S70" s="550" t="str">
        <x:f>IF(A70="","",J70+M70-K70-L70)</x:f>
      </x:c>
      <x:c r="T70" s="550" t="str">
        <x:f>IF(A70="","",J70+M70-K70-L70-N70-R70)</x:f>
      </x:c>
      <x:c r="U70" s="545" t="n"/>
      <x:c r="V70" s="545" t="n"/>
    </x:row>
    <x:row r="71">
      <x:c r="A71" s="545" t="n"/>
      <x:c r="B71" s="549" t="n"/>
      <x:c r="C71" s="545" t="n"/>
      <x:c r="D71" s="545" t="n"/>
      <x:c r="E71" s="545" t="n"/>
      <x:c r="F71" s="545" t="n"/>
      <x:c r="G71" s="545" t="n"/>
      <x:c r="H71" s="545" t="n"/>
      <x:c r="I71" s="550" t="n"/>
      <x:c r="J71" s="550" t="str">
        <x:f>IF(A71="","",IFERROR(H71*I71,""))</x:f>
      </x:c>
      <x:c r="K71" s="550" t="n"/>
      <x:c r="L71" s="550" t="n"/>
      <x:c r="M71" s="550" t="n"/>
      <x:c r="N71" s="550" t="n"/>
      <x:c r="O71" s="545" t="n"/>
      <x:c r="P71" s="545" t="n"/>
      <x:c r="Q71" s="550" t="str">
        <x:f>IF(E71="","",IFERROR(VLOOKUP(E71,'2_Tính giá'!$A$12:$M$51,13,FALSE),""))</x:f>
      </x:c>
      <x:c r="R71" s="550" t="str">
        <x:f>IF(OR(A71="",H71="",Q71=""),"",H71*Q71)</x:f>
      </x:c>
      <x:c r="S71" s="550" t="str">
        <x:f>IF(A71="","",J71+M71-K71-L71)</x:f>
      </x:c>
      <x:c r="T71" s="550" t="str">
        <x:f>IF(A71="","",J71+M71-K71-L71-N71-R71)</x:f>
      </x:c>
      <x:c r="U71" s="545" t="n"/>
      <x:c r="V71" s="545" t="n"/>
    </x:row>
    <x:row r="72">
      <x:c r="A72" s="545" t="n"/>
      <x:c r="B72" s="549" t="n"/>
      <x:c r="C72" s="545" t="n"/>
      <x:c r="D72" s="545" t="n"/>
      <x:c r="E72" s="545" t="n"/>
      <x:c r="F72" s="545" t="n"/>
      <x:c r="G72" s="545" t="n"/>
      <x:c r="H72" s="545" t="n"/>
      <x:c r="I72" s="550" t="n"/>
      <x:c r="J72" s="550" t="str">
        <x:f>IF(A72="","",IFERROR(H72*I72,""))</x:f>
      </x:c>
      <x:c r="K72" s="550" t="n"/>
      <x:c r="L72" s="550" t="n"/>
      <x:c r="M72" s="550" t="n"/>
      <x:c r="N72" s="550" t="n"/>
      <x:c r="O72" s="545" t="n"/>
      <x:c r="P72" s="545" t="n"/>
      <x:c r="Q72" s="550" t="str">
        <x:f>IF(E72="","",IFERROR(VLOOKUP(E72,'2_Tính giá'!$A$12:$M$51,13,FALSE),""))</x:f>
      </x:c>
      <x:c r="R72" s="550" t="str">
        <x:f>IF(OR(A72="",H72="",Q72=""),"",H72*Q72)</x:f>
      </x:c>
      <x:c r="S72" s="550" t="str">
        <x:f>IF(A72="","",J72+M72-K72-L72)</x:f>
      </x:c>
      <x:c r="T72" s="550" t="str">
        <x:f>IF(A72="","",J72+M72-K72-L72-N72-R72)</x:f>
      </x:c>
      <x:c r="U72" s="545" t="n"/>
      <x:c r="V72" s="545" t="n"/>
    </x:row>
    <x:row r="73">
      <x:c r="A73" s="545" t="n"/>
      <x:c r="B73" s="549" t="n"/>
      <x:c r="C73" s="545" t="n"/>
      <x:c r="D73" s="545" t="n"/>
      <x:c r="E73" s="545" t="n"/>
      <x:c r="F73" s="545" t="n"/>
      <x:c r="G73" s="545" t="n"/>
      <x:c r="H73" s="545" t="n"/>
      <x:c r="I73" s="550" t="n"/>
      <x:c r="J73" s="550" t="str">
        <x:f>IF(A73="","",IFERROR(H73*I73,""))</x:f>
      </x:c>
      <x:c r="K73" s="550" t="n"/>
      <x:c r="L73" s="550" t="n"/>
      <x:c r="M73" s="550" t="n"/>
      <x:c r="N73" s="550" t="n"/>
      <x:c r="O73" s="545" t="n"/>
      <x:c r="P73" s="545" t="n"/>
      <x:c r="Q73" s="550" t="str">
        <x:f>IF(E73="","",IFERROR(VLOOKUP(E73,'2_Tính giá'!$A$12:$M$51,13,FALSE),""))</x:f>
      </x:c>
      <x:c r="R73" s="550" t="str">
        <x:f>IF(OR(A73="",H73="",Q73=""),"",H73*Q73)</x:f>
      </x:c>
      <x:c r="S73" s="550" t="str">
        <x:f>IF(A73="","",J73+M73-K73-L73)</x:f>
      </x:c>
      <x:c r="T73" s="550" t="str">
        <x:f>IF(A73="","",J73+M73-K73-L73-N73-R73)</x:f>
      </x:c>
      <x:c r="U73" s="545" t="n"/>
      <x:c r="V73" s="545" t="n"/>
    </x:row>
    <x:row r="74">
      <x:c r="A74" s="545" t="n"/>
      <x:c r="B74" s="549" t="n"/>
      <x:c r="C74" s="545" t="n"/>
      <x:c r="D74" s="545" t="n"/>
      <x:c r="E74" s="545" t="n"/>
      <x:c r="F74" s="545" t="n"/>
      <x:c r="G74" s="545" t="n"/>
      <x:c r="H74" s="545" t="n"/>
      <x:c r="I74" s="550" t="n"/>
      <x:c r="J74" s="550" t="str">
        <x:f>IF(A74="","",IFERROR(H74*I74,""))</x:f>
      </x:c>
      <x:c r="K74" s="550" t="n"/>
      <x:c r="L74" s="550" t="n"/>
      <x:c r="M74" s="550" t="n"/>
      <x:c r="N74" s="550" t="n"/>
      <x:c r="O74" s="545" t="n"/>
      <x:c r="P74" s="545" t="n"/>
      <x:c r="Q74" s="550" t="str">
        <x:f>IF(E74="","",IFERROR(VLOOKUP(E74,'2_Tính giá'!$A$12:$M$51,13,FALSE),""))</x:f>
      </x:c>
      <x:c r="R74" s="550" t="str">
        <x:f>IF(OR(A74="",H74="",Q74=""),"",H74*Q74)</x:f>
      </x:c>
      <x:c r="S74" s="550" t="str">
        <x:f>IF(A74="","",J74+M74-K74-L74)</x:f>
      </x:c>
      <x:c r="T74" s="550" t="str">
        <x:f>IF(A74="","",J74+M74-K74-L74-N74-R74)</x:f>
      </x:c>
      <x:c r="U74" s="545" t="n"/>
      <x:c r="V74" s="545" t="n"/>
    </x:row>
    <x:row r="75">
      <x:c r="A75" s="545" t="n"/>
      <x:c r="B75" s="549" t="n"/>
      <x:c r="C75" s="545" t="n"/>
      <x:c r="D75" s="545" t="n"/>
      <x:c r="E75" s="545" t="n"/>
      <x:c r="F75" s="545" t="n"/>
      <x:c r="G75" s="545" t="n"/>
      <x:c r="H75" s="545" t="n"/>
      <x:c r="I75" s="550" t="n"/>
      <x:c r="J75" s="550" t="str">
        <x:f>IF(A75="","",IFERROR(H75*I75,""))</x:f>
      </x:c>
      <x:c r="K75" s="550" t="n"/>
      <x:c r="L75" s="550" t="n"/>
      <x:c r="M75" s="550" t="n"/>
      <x:c r="N75" s="550" t="n"/>
      <x:c r="O75" s="545" t="n"/>
      <x:c r="P75" s="545" t="n"/>
      <x:c r="Q75" s="550" t="str">
        <x:f>IF(E75="","",IFERROR(VLOOKUP(E75,'2_Tính giá'!$A$12:$M$51,13,FALSE),""))</x:f>
      </x:c>
      <x:c r="R75" s="550" t="str">
        <x:f>IF(OR(A75="",H75="",Q75=""),"",H75*Q75)</x:f>
      </x:c>
      <x:c r="S75" s="550" t="str">
        <x:f>IF(A75="","",J75+M75-K75-L75)</x:f>
      </x:c>
      <x:c r="T75" s="550" t="str">
        <x:f>IF(A75="","",J75+M75-K75-L75-N75-R75)</x:f>
      </x:c>
      <x:c r="U75" s="545" t="n"/>
      <x:c r="V75" s="545" t="n"/>
    </x:row>
    <x:row r="76">
      <x:c r="A76" s="545" t="n"/>
      <x:c r="B76" s="549" t="n"/>
      <x:c r="C76" s="545" t="n"/>
      <x:c r="D76" s="545" t="n"/>
      <x:c r="E76" s="545" t="n"/>
      <x:c r="F76" s="545" t="n"/>
      <x:c r="G76" s="545" t="n"/>
      <x:c r="H76" s="545" t="n"/>
      <x:c r="I76" s="550" t="n"/>
      <x:c r="J76" s="550" t="str">
        <x:f>IF(A76="","",IFERROR(H76*I76,""))</x:f>
      </x:c>
      <x:c r="K76" s="550" t="n"/>
      <x:c r="L76" s="550" t="n"/>
      <x:c r="M76" s="550" t="n"/>
      <x:c r="N76" s="550" t="n"/>
      <x:c r="O76" s="545" t="n"/>
      <x:c r="P76" s="545" t="n"/>
      <x:c r="Q76" s="550" t="str">
        <x:f>IF(E76="","",IFERROR(VLOOKUP(E76,'2_Tính giá'!$A$12:$M$51,13,FALSE),""))</x:f>
      </x:c>
      <x:c r="R76" s="550" t="str">
        <x:f>IF(OR(A76="",H76="",Q76=""),"",H76*Q76)</x:f>
      </x:c>
      <x:c r="S76" s="550" t="str">
        <x:f>IF(A76="","",J76+M76-K76-L76)</x:f>
      </x:c>
      <x:c r="T76" s="550" t="str">
        <x:f>IF(A76="","",J76+M76-K76-L76-N76-R76)</x:f>
      </x:c>
      <x:c r="U76" s="545" t="n"/>
      <x:c r="V76" s="545" t="n"/>
    </x:row>
    <x:row r="77">
      <x:c r="A77" s="545" t="n"/>
      <x:c r="B77" s="549" t="n"/>
      <x:c r="C77" s="545" t="n"/>
      <x:c r="D77" s="545" t="n"/>
      <x:c r="E77" s="545" t="n"/>
      <x:c r="F77" s="545" t="n"/>
      <x:c r="G77" s="545" t="n"/>
      <x:c r="H77" s="545" t="n"/>
      <x:c r="I77" s="550" t="n"/>
      <x:c r="J77" s="550" t="str">
        <x:f>IF(A77="","",IFERROR(H77*I77,""))</x:f>
      </x:c>
      <x:c r="K77" s="550" t="n"/>
      <x:c r="L77" s="550" t="n"/>
      <x:c r="M77" s="550" t="n"/>
      <x:c r="N77" s="550" t="n"/>
      <x:c r="O77" s="545" t="n"/>
      <x:c r="P77" s="545" t="n"/>
      <x:c r="Q77" s="550" t="str">
        <x:f>IF(E77="","",IFERROR(VLOOKUP(E77,'2_Tính giá'!$A$12:$M$51,13,FALSE),""))</x:f>
      </x:c>
      <x:c r="R77" s="550" t="str">
        <x:f>IF(OR(A77="",H77="",Q77=""),"",H77*Q77)</x:f>
      </x:c>
      <x:c r="S77" s="550" t="str">
        <x:f>IF(A77="","",J77+M77-K77-L77)</x:f>
      </x:c>
      <x:c r="T77" s="550" t="str">
        <x:f>IF(A77="","",J77+M77-K77-L77-N77-R77)</x:f>
      </x:c>
      <x:c r="U77" s="545" t="n"/>
      <x:c r="V77" s="545" t="n"/>
    </x:row>
    <x:row r="78">
      <x:c r="A78" s="545" t="n"/>
      <x:c r="B78" s="549" t="n"/>
      <x:c r="C78" s="545" t="n"/>
      <x:c r="D78" s="545" t="n"/>
      <x:c r="E78" s="545" t="n"/>
      <x:c r="F78" s="545" t="n"/>
      <x:c r="G78" s="545" t="n"/>
      <x:c r="H78" s="545" t="n"/>
      <x:c r="I78" s="550" t="n"/>
      <x:c r="J78" s="550" t="str">
        <x:f>IF(A78="","",IFERROR(H78*I78,""))</x:f>
      </x:c>
      <x:c r="K78" s="550" t="n"/>
      <x:c r="L78" s="550" t="n"/>
      <x:c r="M78" s="550" t="n"/>
      <x:c r="N78" s="550" t="n"/>
      <x:c r="O78" s="545" t="n"/>
      <x:c r="P78" s="545" t="n"/>
      <x:c r="Q78" s="550" t="str">
        <x:f>IF(E78="","",IFERROR(VLOOKUP(E78,'2_Tính giá'!$A$12:$M$51,13,FALSE),""))</x:f>
      </x:c>
      <x:c r="R78" s="550" t="str">
        <x:f>IF(OR(A78="",H78="",Q78=""),"",H78*Q78)</x:f>
      </x:c>
      <x:c r="S78" s="550" t="str">
        <x:f>IF(A78="","",J78+M78-K78-L78)</x:f>
      </x:c>
      <x:c r="T78" s="550" t="str">
        <x:f>IF(A78="","",J78+M78-K78-L78-N78-R78)</x:f>
      </x:c>
      <x:c r="U78" s="545" t="n"/>
      <x:c r="V78" s="545" t="n"/>
    </x:row>
    <x:row r="79">
      <x:c r="A79" s="545" t="n"/>
      <x:c r="B79" s="549" t="n"/>
      <x:c r="C79" s="545" t="n"/>
      <x:c r="D79" s="545" t="n"/>
      <x:c r="E79" s="545" t="n"/>
      <x:c r="F79" s="545" t="n"/>
      <x:c r="G79" s="545" t="n"/>
      <x:c r="H79" s="545" t="n"/>
      <x:c r="I79" s="550" t="n"/>
      <x:c r="J79" s="550" t="str">
        <x:f>IF(A79="","",IFERROR(H79*I79,""))</x:f>
      </x:c>
      <x:c r="K79" s="550" t="n"/>
      <x:c r="L79" s="550" t="n"/>
      <x:c r="M79" s="550" t="n"/>
      <x:c r="N79" s="550" t="n"/>
      <x:c r="O79" s="545" t="n"/>
      <x:c r="P79" s="545" t="n"/>
      <x:c r="Q79" s="550" t="str">
        <x:f>IF(E79="","",IFERROR(VLOOKUP(E79,'2_Tính giá'!$A$12:$M$51,13,FALSE),""))</x:f>
      </x:c>
      <x:c r="R79" s="550" t="str">
        <x:f>IF(OR(A79="",H79="",Q79=""),"",H79*Q79)</x:f>
      </x:c>
      <x:c r="S79" s="550" t="str">
        <x:f>IF(A79="","",J79+M79-K79-L79)</x:f>
      </x:c>
      <x:c r="T79" s="550" t="str">
        <x:f>IF(A79="","",J79+M79-K79-L79-N79-R79)</x:f>
      </x:c>
      <x:c r="U79" s="545" t="n"/>
      <x:c r="V79" s="545" t="n"/>
    </x:row>
    <x:row r="80">
      <x:c r="A80" s="545" t="n"/>
      <x:c r="B80" s="549" t="n"/>
      <x:c r="C80" s="545" t="n"/>
      <x:c r="D80" s="545" t="n"/>
      <x:c r="E80" s="545" t="n"/>
      <x:c r="F80" s="545" t="n"/>
      <x:c r="G80" s="545" t="n"/>
      <x:c r="H80" s="545" t="n"/>
      <x:c r="I80" s="550" t="n"/>
      <x:c r="J80" s="550" t="str">
        <x:f>IF(A80="","",IFERROR(H80*I80,""))</x:f>
      </x:c>
      <x:c r="K80" s="550" t="n"/>
      <x:c r="L80" s="550" t="n"/>
      <x:c r="M80" s="550" t="n"/>
      <x:c r="N80" s="550" t="n"/>
      <x:c r="O80" s="545" t="n"/>
      <x:c r="P80" s="545" t="n"/>
      <x:c r="Q80" s="550" t="str">
        <x:f>IF(E80="","",IFERROR(VLOOKUP(E80,'2_Tính giá'!$A$12:$M$51,13,FALSE),""))</x:f>
      </x:c>
      <x:c r="R80" s="550" t="str">
        <x:f>IF(OR(A80="",H80="",Q80=""),"",H80*Q80)</x:f>
      </x:c>
      <x:c r="S80" s="550" t="str">
        <x:f>IF(A80="","",J80+M80-K80-L80)</x:f>
      </x:c>
      <x:c r="T80" s="550" t="str">
        <x:f>IF(A80="","",J80+M80-K80-L80-N80-R80)</x:f>
      </x:c>
      <x:c r="U80" s="545" t="n"/>
      <x:c r="V80" s="545" t="n"/>
    </x:row>
    <x:row r="81">
      <x:c r="A81" s="545" t="n"/>
      <x:c r="B81" s="549" t="n"/>
      <x:c r="C81" s="545" t="n"/>
      <x:c r="D81" s="545" t="n"/>
      <x:c r="E81" s="545" t="n"/>
      <x:c r="F81" s="545" t="n"/>
      <x:c r="G81" s="545" t="n"/>
      <x:c r="H81" s="545" t="n"/>
      <x:c r="I81" s="550" t="n"/>
      <x:c r="J81" s="550" t="str">
        <x:f>IF(A81="","",IFERROR(H81*I81,""))</x:f>
      </x:c>
      <x:c r="K81" s="550" t="n"/>
      <x:c r="L81" s="550" t="n"/>
      <x:c r="M81" s="550" t="n"/>
      <x:c r="N81" s="550" t="n"/>
      <x:c r="O81" s="545" t="n"/>
      <x:c r="P81" s="545" t="n"/>
      <x:c r="Q81" s="550" t="str">
        <x:f>IF(E81="","",IFERROR(VLOOKUP(E81,'2_Tính giá'!$A$12:$M$51,13,FALSE),""))</x:f>
      </x:c>
      <x:c r="R81" s="550" t="str">
        <x:f>IF(OR(A81="",H81="",Q81=""),"",H81*Q81)</x:f>
      </x:c>
      <x:c r="S81" s="550" t="str">
        <x:f>IF(A81="","",J81+M81-K81-L81)</x:f>
      </x:c>
      <x:c r="T81" s="550" t="str">
        <x:f>IF(A81="","",J81+M81-K81-L81-N81-R81)</x:f>
      </x:c>
      <x:c r="U81" s="545" t="n"/>
      <x:c r="V81" s="545" t="n"/>
    </x:row>
    <x:row r="82">
      <x:c r="A82" s="545" t="n"/>
      <x:c r="B82" s="549" t="n"/>
      <x:c r="C82" s="545" t="n"/>
      <x:c r="D82" s="545" t="n"/>
      <x:c r="E82" s="545" t="n"/>
      <x:c r="F82" s="545" t="n"/>
      <x:c r="G82" s="545" t="n"/>
      <x:c r="H82" s="545" t="n"/>
      <x:c r="I82" s="550" t="n"/>
      <x:c r="J82" s="550" t="str">
        <x:f>IF(A82="","",IFERROR(H82*I82,""))</x:f>
      </x:c>
      <x:c r="K82" s="550" t="n"/>
      <x:c r="L82" s="550" t="n"/>
      <x:c r="M82" s="550" t="n"/>
      <x:c r="N82" s="550" t="n"/>
      <x:c r="O82" s="545" t="n"/>
      <x:c r="P82" s="545" t="n"/>
      <x:c r="Q82" s="550" t="str">
        <x:f>IF(E82="","",IFERROR(VLOOKUP(E82,'2_Tính giá'!$A$12:$M$51,13,FALSE),""))</x:f>
      </x:c>
      <x:c r="R82" s="550" t="str">
        <x:f>IF(OR(A82="",H82="",Q82=""),"",H82*Q82)</x:f>
      </x:c>
      <x:c r="S82" s="550" t="str">
        <x:f>IF(A82="","",J82+M82-K82-L82)</x:f>
      </x:c>
      <x:c r="T82" s="550" t="str">
        <x:f>IF(A82="","",J82+M82-K82-L82-N82-R82)</x:f>
      </x:c>
      <x:c r="U82" s="545" t="n"/>
      <x:c r="V82" s="545" t="n"/>
    </x:row>
    <x:row r="83">
      <x:c r="A83" s="545" t="n"/>
      <x:c r="B83" s="549" t="n"/>
      <x:c r="C83" s="545" t="n"/>
      <x:c r="D83" s="545" t="n"/>
      <x:c r="E83" s="545" t="n"/>
      <x:c r="F83" s="545" t="n"/>
      <x:c r="G83" s="545" t="n"/>
      <x:c r="H83" s="545" t="n"/>
      <x:c r="I83" s="550" t="n"/>
      <x:c r="J83" s="550" t="str">
        <x:f>IF(A83="","",IFERROR(H83*I83,""))</x:f>
      </x:c>
      <x:c r="K83" s="550" t="n"/>
      <x:c r="L83" s="550" t="n"/>
      <x:c r="M83" s="550" t="n"/>
      <x:c r="N83" s="550" t="n"/>
      <x:c r="O83" s="545" t="n"/>
      <x:c r="P83" s="545" t="n"/>
      <x:c r="Q83" s="550" t="str">
        <x:f>IF(E83="","",IFERROR(VLOOKUP(E83,'2_Tính giá'!$A$12:$M$51,13,FALSE),""))</x:f>
      </x:c>
      <x:c r="R83" s="550" t="str">
        <x:f>IF(OR(A83="",H83="",Q83=""),"",H83*Q83)</x:f>
      </x:c>
      <x:c r="S83" s="550" t="str">
        <x:f>IF(A83="","",J83+M83-K83-L83)</x:f>
      </x:c>
      <x:c r="T83" s="550" t="str">
        <x:f>IF(A83="","",J83+M83-K83-L83-N83-R83)</x:f>
      </x:c>
      <x:c r="U83" s="545" t="n"/>
      <x:c r="V83" s="545" t="n"/>
    </x:row>
    <x:row r="84">
      <x:c r="A84" s="545" t="n"/>
      <x:c r="B84" s="549" t="n"/>
      <x:c r="C84" s="545" t="n"/>
      <x:c r="D84" s="545" t="n"/>
      <x:c r="E84" s="545" t="n"/>
      <x:c r="F84" s="545" t="n"/>
      <x:c r="G84" s="545" t="n"/>
      <x:c r="H84" s="545" t="n"/>
      <x:c r="I84" s="550" t="n"/>
      <x:c r="J84" s="550" t="str">
        <x:f>IF(A84="","",IFERROR(H84*I84,""))</x:f>
      </x:c>
      <x:c r="K84" s="550" t="n"/>
      <x:c r="L84" s="550" t="n"/>
      <x:c r="M84" s="550" t="n"/>
      <x:c r="N84" s="550" t="n"/>
      <x:c r="O84" s="545" t="n"/>
      <x:c r="P84" s="545" t="n"/>
      <x:c r="Q84" s="550" t="str">
        <x:f>IF(E84="","",IFERROR(VLOOKUP(E84,'2_Tính giá'!$A$12:$M$51,13,FALSE),""))</x:f>
      </x:c>
      <x:c r="R84" s="550" t="str">
        <x:f>IF(OR(A84="",H84="",Q84=""),"",H84*Q84)</x:f>
      </x:c>
      <x:c r="S84" s="550" t="str">
        <x:f>IF(A84="","",J84+M84-K84-L84)</x:f>
      </x:c>
      <x:c r="T84" s="550" t="str">
        <x:f>IF(A84="","",J84+M84-K84-L84-N84-R84)</x:f>
      </x:c>
      <x:c r="U84" s="545" t="n"/>
      <x:c r="V84" s="545" t="n"/>
    </x:row>
    <x:row r="85">
      <x:c r="A85" s="545" t="n"/>
      <x:c r="B85" s="549" t="n"/>
      <x:c r="C85" s="545" t="n"/>
      <x:c r="D85" s="545" t="n"/>
      <x:c r="E85" s="545" t="n"/>
      <x:c r="F85" s="545" t="n"/>
      <x:c r="G85" s="545" t="n"/>
      <x:c r="H85" s="545" t="n"/>
      <x:c r="I85" s="550" t="n"/>
      <x:c r="J85" s="550" t="str">
        <x:f>IF(A85="","",IFERROR(H85*I85,""))</x:f>
      </x:c>
      <x:c r="K85" s="550" t="n"/>
      <x:c r="L85" s="550" t="n"/>
      <x:c r="M85" s="550" t="n"/>
      <x:c r="N85" s="550" t="n"/>
      <x:c r="O85" s="545" t="n"/>
      <x:c r="P85" s="545" t="n"/>
      <x:c r="Q85" s="550" t="str">
        <x:f>IF(E85="","",IFERROR(VLOOKUP(E85,'2_Tính giá'!$A$12:$M$51,13,FALSE),""))</x:f>
      </x:c>
      <x:c r="R85" s="550" t="str">
        <x:f>IF(OR(A85="",H85="",Q85=""),"",H85*Q85)</x:f>
      </x:c>
      <x:c r="S85" s="550" t="str">
        <x:f>IF(A85="","",J85+M85-K85-L85)</x:f>
      </x:c>
      <x:c r="T85" s="550" t="str">
        <x:f>IF(A85="","",J85+M85-K85-L85-N85-R85)</x:f>
      </x:c>
      <x:c r="U85" s="545" t="n"/>
      <x:c r="V85" s="545" t="n"/>
    </x:row>
    <x:row r="86">
      <x:c r="A86" s="545" t="n"/>
      <x:c r="B86" s="549" t="n"/>
      <x:c r="C86" s="545" t="n"/>
      <x:c r="D86" s="545" t="n"/>
      <x:c r="E86" s="545" t="n"/>
      <x:c r="F86" s="545" t="n"/>
      <x:c r="G86" s="545" t="n"/>
      <x:c r="H86" s="545" t="n"/>
      <x:c r="I86" s="550" t="n"/>
      <x:c r="J86" s="550" t="str">
        <x:f>IF(A86="","",IFERROR(H86*I86,""))</x:f>
      </x:c>
      <x:c r="K86" s="550" t="n"/>
      <x:c r="L86" s="550" t="n"/>
      <x:c r="M86" s="550" t="n"/>
      <x:c r="N86" s="550" t="n"/>
      <x:c r="O86" s="545" t="n"/>
      <x:c r="P86" s="545" t="n"/>
      <x:c r="Q86" s="550" t="str">
        <x:f>IF(E86="","",IFERROR(VLOOKUP(E86,'2_Tính giá'!$A$12:$M$51,13,FALSE),""))</x:f>
      </x:c>
      <x:c r="R86" s="550" t="str">
        <x:f>IF(OR(A86="",H86="",Q86=""),"",H86*Q86)</x:f>
      </x:c>
      <x:c r="S86" s="550" t="str">
        <x:f>IF(A86="","",J86+M86-K86-L86)</x:f>
      </x:c>
      <x:c r="T86" s="550" t="str">
        <x:f>IF(A86="","",J86+M86-K86-L86-N86-R86)</x:f>
      </x:c>
      <x:c r="U86" s="545" t="n"/>
      <x:c r="V86" s="545" t="n"/>
    </x:row>
    <x:row r="87">
      <x:c r="A87" s="545" t="n"/>
      <x:c r="B87" s="549" t="n"/>
      <x:c r="C87" s="545" t="n"/>
      <x:c r="D87" s="545" t="n"/>
      <x:c r="E87" s="545" t="n"/>
      <x:c r="F87" s="545" t="n"/>
      <x:c r="G87" s="545" t="n"/>
      <x:c r="H87" s="545" t="n"/>
      <x:c r="I87" s="550" t="n"/>
      <x:c r="J87" s="550" t="str">
        <x:f>IF(A87="","",IFERROR(H87*I87,""))</x:f>
      </x:c>
      <x:c r="K87" s="550" t="n"/>
      <x:c r="L87" s="550" t="n"/>
      <x:c r="M87" s="550" t="n"/>
      <x:c r="N87" s="550" t="n"/>
      <x:c r="O87" s="545" t="n"/>
      <x:c r="P87" s="545" t="n"/>
      <x:c r="Q87" s="550" t="str">
        <x:f>IF(E87="","",IFERROR(VLOOKUP(E87,'2_Tính giá'!$A$12:$M$51,13,FALSE),""))</x:f>
      </x:c>
      <x:c r="R87" s="550" t="str">
        <x:f>IF(OR(A87="",H87="",Q87=""),"",H87*Q87)</x:f>
      </x:c>
      <x:c r="S87" s="550" t="str">
        <x:f>IF(A87="","",J87+M87-K87-L87)</x:f>
      </x:c>
      <x:c r="T87" s="550" t="str">
        <x:f>IF(A87="","",J87+M87-K87-L87-N87-R87)</x:f>
      </x:c>
      <x:c r="U87" s="545" t="n"/>
      <x:c r="V87" s="545" t="n"/>
    </x:row>
    <x:row r="88">
      <x:c r="A88" s="545" t="n"/>
      <x:c r="B88" s="549" t="n"/>
      <x:c r="C88" s="545" t="n"/>
      <x:c r="D88" s="545" t="n"/>
      <x:c r="E88" s="545" t="n"/>
      <x:c r="F88" s="545" t="n"/>
      <x:c r="G88" s="545" t="n"/>
      <x:c r="H88" s="545" t="n"/>
      <x:c r="I88" s="550" t="n"/>
      <x:c r="J88" s="550" t="str">
        <x:f>IF(A88="","",IFERROR(H88*I88,""))</x:f>
      </x:c>
      <x:c r="K88" s="550" t="n"/>
      <x:c r="L88" s="550" t="n"/>
      <x:c r="M88" s="550" t="n"/>
      <x:c r="N88" s="550" t="n"/>
      <x:c r="O88" s="545" t="n"/>
      <x:c r="P88" s="545" t="n"/>
      <x:c r="Q88" s="550" t="str">
        <x:f>IF(E88="","",IFERROR(VLOOKUP(E88,'2_Tính giá'!$A$12:$M$51,13,FALSE),""))</x:f>
      </x:c>
      <x:c r="R88" s="550" t="str">
        <x:f>IF(OR(A88="",H88="",Q88=""),"",H88*Q88)</x:f>
      </x:c>
      <x:c r="S88" s="550" t="str">
        <x:f>IF(A88="","",J88+M88-K88-L88)</x:f>
      </x:c>
      <x:c r="T88" s="550" t="str">
        <x:f>IF(A88="","",J88+M88-K88-L88-N88-R88)</x:f>
      </x:c>
      <x:c r="U88" s="545" t="n"/>
      <x:c r="V88" s="545" t="n"/>
    </x:row>
    <x:row r="89">
      <x:c r="A89" s="545" t="n"/>
      <x:c r="B89" s="549" t="n"/>
      <x:c r="C89" s="545" t="n"/>
      <x:c r="D89" s="545" t="n"/>
      <x:c r="E89" s="545" t="n"/>
      <x:c r="F89" s="545" t="n"/>
      <x:c r="G89" s="545" t="n"/>
      <x:c r="H89" s="545" t="n"/>
      <x:c r="I89" s="550" t="n"/>
      <x:c r="J89" s="550" t="str">
        <x:f>IF(A89="","",IFERROR(H89*I89,""))</x:f>
      </x:c>
      <x:c r="K89" s="550" t="n"/>
      <x:c r="L89" s="550" t="n"/>
      <x:c r="M89" s="550" t="n"/>
      <x:c r="N89" s="550" t="n"/>
      <x:c r="O89" s="545" t="n"/>
      <x:c r="P89" s="545" t="n"/>
      <x:c r="Q89" s="550" t="str">
        <x:f>IF(E89="","",IFERROR(VLOOKUP(E89,'2_Tính giá'!$A$12:$M$51,13,FALSE),""))</x:f>
      </x:c>
      <x:c r="R89" s="550" t="str">
        <x:f>IF(OR(A89="",H89="",Q89=""),"",H89*Q89)</x:f>
      </x:c>
      <x:c r="S89" s="550" t="str">
        <x:f>IF(A89="","",J89+M89-K89-L89)</x:f>
      </x:c>
      <x:c r="T89" s="550" t="str">
        <x:f>IF(A89="","",J89+M89-K89-L89-N89-R89)</x:f>
      </x:c>
      <x:c r="U89" s="545" t="n"/>
      <x:c r="V89" s="545" t="n"/>
    </x:row>
    <x:row r="90">
      <x:c r="A90" s="545" t="n"/>
      <x:c r="B90" s="549" t="n"/>
      <x:c r="C90" s="545" t="n"/>
      <x:c r="D90" s="545" t="n"/>
      <x:c r="E90" s="545" t="n"/>
      <x:c r="F90" s="545" t="n"/>
      <x:c r="G90" s="545" t="n"/>
      <x:c r="H90" s="545" t="n"/>
      <x:c r="I90" s="550" t="n"/>
      <x:c r="J90" s="550" t="str">
        <x:f>IF(A90="","",IFERROR(H90*I90,""))</x:f>
      </x:c>
      <x:c r="K90" s="550" t="n"/>
      <x:c r="L90" s="550" t="n"/>
      <x:c r="M90" s="550" t="n"/>
      <x:c r="N90" s="550" t="n"/>
      <x:c r="O90" s="545" t="n"/>
      <x:c r="P90" s="545" t="n"/>
      <x:c r="Q90" s="550" t="str">
        <x:f>IF(E90="","",IFERROR(VLOOKUP(E90,'2_Tính giá'!$A$12:$M$51,13,FALSE),""))</x:f>
      </x:c>
      <x:c r="R90" s="550" t="str">
        <x:f>IF(OR(A90="",H90="",Q90=""),"",H90*Q90)</x:f>
      </x:c>
      <x:c r="S90" s="550" t="str">
        <x:f>IF(A90="","",J90+M90-K90-L90)</x:f>
      </x:c>
      <x:c r="T90" s="550" t="str">
        <x:f>IF(A90="","",J90+M90-K90-L90-N90-R90)</x:f>
      </x:c>
      <x:c r="U90" s="545" t="n"/>
      <x:c r="V90" s="545" t="n"/>
    </x:row>
    <x:row r="91">
      <x:c r="A91" s="545" t="n"/>
      <x:c r="B91" s="549" t="n"/>
      <x:c r="C91" s="545" t="n"/>
      <x:c r="D91" s="545" t="n"/>
      <x:c r="E91" s="545" t="n"/>
      <x:c r="F91" s="545" t="n"/>
      <x:c r="G91" s="545" t="n"/>
      <x:c r="H91" s="545" t="n"/>
      <x:c r="I91" s="550" t="n"/>
      <x:c r="J91" s="550" t="str">
        <x:f>IF(A91="","",IFERROR(H91*I91,""))</x:f>
      </x:c>
      <x:c r="K91" s="550" t="n"/>
      <x:c r="L91" s="550" t="n"/>
      <x:c r="M91" s="550" t="n"/>
      <x:c r="N91" s="550" t="n"/>
      <x:c r="O91" s="545" t="n"/>
      <x:c r="P91" s="545" t="n"/>
      <x:c r="Q91" s="550" t="str">
        <x:f>IF(E91="","",IFERROR(VLOOKUP(E91,'2_Tính giá'!$A$12:$M$51,13,FALSE),""))</x:f>
      </x:c>
      <x:c r="R91" s="550" t="str">
        <x:f>IF(OR(A91="",H91="",Q91=""),"",H91*Q91)</x:f>
      </x:c>
      <x:c r="S91" s="550" t="str">
        <x:f>IF(A91="","",J91+M91-K91-L91)</x:f>
      </x:c>
      <x:c r="T91" s="550" t="str">
        <x:f>IF(A91="","",J91+M91-K91-L91-N91-R91)</x:f>
      </x:c>
      <x:c r="U91" s="545" t="n"/>
      <x:c r="V91" s="545" t="n"/>
    </x:row>
    <x:row r="92">
      <x:c r="A92" s="545" t="n"/>
      <x:c r="B92" s="549" t="n"/>
      <x:c r="C92" s="545" t="n"/>
      <x:c r="D92" s="545" t="n"/>
      <x:c r="E92" s="545" t="n"/>
      <x:c r="F92" s="545" t="n"/>
      <x:c r="G92" s="545" t="n"/>
      <x:c r="H92" s="545" t="n"/>
      <x:c r="I92" s="550" t="n"/>
      <x:c r="J92" s="550" t="str">
        <x:f>IF(A92="","",IFERROR(H92*I92,""))</x:f>
      </x:c>
      <x:c r="K92" s="550" t="n"/>
      <x:c r="L92" s="550" t="n"/>
      <x:c r="M92" s="550" t="n"/>
      <x:c r="N92" s="550" t="n"/>
      <x:c r="O92" s="545" t="n"/>
      <x:c r="P92" s="545" t="n"/>
      <x:c r="Q92" s="550" t="str">
        <x:f>IF(E92="","",IFERROR(VLOOKUP(E92,'2_Tính giá'!$A$12:$M$51,13,FALSE),""))</x:f>
      </x:c>
      <x:c r="R92" s="550" t="str">
        <x:f>IF(OR(A92="",H92="",Q92=""),"",H92*Q92)</x:f>
      </x:c>
      <x:c r="S92" s="550" t="str">
        <x:f>IF(A92="","",J92+M92-K92-L92)</x:f>
      </x:c>
      <x:c r="T92" s="550" t="str">
        <x:f>IF(A92="","",J92+M92-K92-L92-N92-R92)</x:f>
      </x:c>
      <x:c r="U92" s="545" t="n"/>
      <x:c r="V92" s="545" t="n"/>
    </x:row>
    <x:row r="93">
      <x:c r="A93" s="545" t="n"/>
      <x:c r="B93" s="549" t="n"/>
      <x:c r="C93" s="545" t="n"/>
      <x:c r="D93" s="545" t="n"/>
      <x:c r="E93" s="545" t="n"/>
      <x:c r="F93" s="545" t="n"/>
      <x:c r="G93" s="545" t="n"/>
      <x:c r="H93" s="545" t="n"/>
      <x:c r="I93" s="550" t="n"/>
      <x:c r="J93" s="550" t="str">
        <x:f>IF(A93="","",IFERROR(H93*I93,""))</x:f>
      </x:c>
      <x:c r="K93" s="550" t="n"/>
      <x:c r="L93" s="550" t="n"/>
      <x:c r="M93" s="550" t="n"/>
      <x:c r="N93" s="550" t="n"/>
      <x:c r="O93" s="545" t="n"/>
      <x:c r="P93" s="545" t="n"/>
      <x:c r="Q93" s="550" t="str">
        <x:f>IF(E93="","",IFERROR(VLOOKUP(E93,'2_Tính giá'!$A$12:$M$51,13,FALSE),""))</x:f>
      </x:c>
      <x:c r="R93" s="550" t="str">
        <x:f>IF(OR(A93="",H93="",Q93=""),"",H93*Q93)</x:f>
      </x:c>
      <x:c r="S93" s="550" t="str">
        <x:f>IF(A93="","",J93+M93-K93-L93)</x:f>
      </x:c>
      <x:c r="T93" s="550" t="str">
        <x:f>IF(A93="","",J93+M93-K93-L93-N93-R93)</x:f>
      </x:c>
      <x:c r="U93" s="545" t="n"/>
      <x:c r="V93" s="545" t="n"/>
    </x:row>
    <x:row r="94">
      <x:c r="A94" s="545" t="n"/>
      <x:c r="B94" s="549" t="n"/>
      <x:c r="C94" s="545" t="n"/>
      <x:c r="D94" s="545" t="n"/>
      <x:c r="E94" s="545" t="n"/>
      <x:c r="F94" s="545" t="n"/>
      <x:c r="G94" s="545" t="n"/>
      <x:c r="H94" s="545" t="n"/>
      <x:c r="I94" s="550" t="n"/>
      <x:c r="J94" s="550" t="str">
        <x:f>IF(A94="","",IFERROR(H94*I94,""))</x:f>
      </x:c>
      <x:c r="K94" s="550" t="n"/>
      <x:c r="L94" s="550" t="n"/>
      <x:c r="M94" s="550" t="n"/>
      <x:c r="N94" s="550" t="n"/>
      <x:c r="O94" s="545" t="n"/>
      <x:c r="P94" s="545" t="n"/>
      <x:c r="Q94" s="550" t="str">
        <x:f>IF(E94="","",IFERROR(VLOOKUP(E94,'2_Tính giá'!$A$12:$M$51,13,FALSE),""))</x:f>
      </x:c>
      <x:c r="R94" s="550" t="str">
        <x:f>IF(OR(A94="",H94="",Q94=""),"",H94*Q94)</x:f>
      </x:c>
      <x:c r="S94" s="550" t="str">
        <x:f>IF(A94="","",J94+M94-K94-L94)</x:f>
      </x:c>
      <x:c r="T94" s="550" t="str">
        <x:f>IF(A94="","",J94+M94-K94-L94-N94-R94)</x:f>
      </x:c>
      <x:c r="U94" s="545" t="n"/>
      <x:c r="V94" s="545" t="n"/>
    </x:row>
    <x:row r="95">
      <x:c r="A95" s="545" t="n"/>
      <x:c r="B95" s="549" t="n"/>
      <x:c r="C95" s="545" t="n"/>
      <x:c r="D95" s="545" t="n"/>
      <x:c r="E95" s="545" t="n"/>
      <x:c r="F95" s="545" t="n"/>
      <x:c r="G95" s="545" t="n"/>
      <x:c r="H95" s="545" t="n"/>
      <x:c r="I95" s="550" t="n"/>
      <x:c r="J95" s="550" t="str">
        <x:f>IF(A95="","",IFERROR(H95*I95,""))</x:f>
      </x:c>
      <x:c r="K95" s="550" t="n"/>
      <x:c r="L95" s="550" t="n"/>
      <x:c r="M95" s="550" t="n"/>
      <x:c r="N95" s="550" t="n"/>
      <x:c r="O95" s="545" t="n"/>
      <x:c r="P95" s="545" t="n"/>
      <x:c r="Q95" s="550" t="str">
        <x:f>IF(E95="","",IFERROR(VLOOKUP(E95,'2_Tính giá'!$A$12:$M$51,13,FALSE),""))</x:f>
      </x:c>
      <x:c r="R95" s="550" t="str">
        <x:f>IF(OR(A95="",H95="",Q95=""),"",H95*Q95)</x:f>
      </x:c>
      <x:c r="S95" s="550" t="str">
        <x:f>IF(A95="","",J95+M95-K95-L95)</x:f>
      </x:c>
      <x:c r="T95" s="550" t="str">
        <x:f>IF(A95="","",J95+M95-K95-L95-N95-R95)</x:f>
      </x:c>
      <x:c r="U95" s="545" t="n"/>
      <x:c r="V95" s="545" t="n"/>
    </x:row>
    <x:row r="96">
      <x:c r="A96" s="545" t="n"/>
      <x:c r="B96" s="549" t="n"/>
      <x:c r="C96" s="545" t="n"/>
      <x:c r="D96" s="545" t="n"/>
      <x:c r="E96" s="545" t="n"/>
      <x:c r="F96" s="545" t="n"/>
      <x:c r="G96" s="545" t="n"/>
      <x:c r="H96" s="545" t="n"/>
      <x:c r="I96" s="550" t="n"/>
      <x:c r="J96" s="550" t="str">
        <x:f>IF(A96="","",IFERROR(H96*I96,""))</x:f>
      </x:c>
      <x:c r="K96" s="550" t="n"/>
      <x:c r="L96" s="550" t="n"/>
      <x:c r="M96" s="550" t="n"/>
      <x:c r="N96" s="550" t="n"/>
      <x:c r="O96" s="545" t="n"/>
      <x:c r="P96" s="545" t="n"/>
      <x:c r="Q96" s="550" t="str">
        <x:f>IF(E96="","",IFERROR(VLOOKUP(E96,'2_Tính giá'!$A$12:$M$51,13,FALSE),""))</x:f>
      </x:c>
      <x:c r="R96" s="550" t="str">
        <x:f>IF(OR(A96="",H96="",Q96=""),"",H96*Q96)</x:f>
      </x:c>
      <x:c r="S96" s="550" t="str">
        <x:f>IF(A96="","",J96+M96-K96-L96)</x:f>
      </x:c>
      <x:c r="T96" s="550" t="str">
        <x:f>IF(A96="","",J96+M96-K96-L96-N96-R96)</x:f>
      </x:c>
      <x:c r="U96" s="545" t="n"/>
      <x:c r="V96" s="545" t="n"/>
    </x:row>
    <x:row r="97">
      <x:c r="A97" s="545" t="n"/>
      <x:c r="B97" s="549" t="n"/>
      <x:c r="C97" s="545" t="n"/>
      <x:c r="D97" s="545" t="n"/>
      <x:c r="E97" s="545" t="n"/>
      <x:c r="F97" s="545" t="n"/>
      <x:c r="G97" s="545" t="n"/>
      <x:c r="H97" s="545" t="n"/>
      <x:c r="I97" s="550" t="n"/>
      <x:c r="J97" s="550" t="str">
        <x:f>IF(A97="","",IFERROR(H97*I97,""))</x:f>
      </x:c>
      <x:c r="K97" s="550" t="n"/>
      <x:c r="L97" s="550" t="n"/>
      <x:c r="M97" s="550" t="n"/>
      <x:c r="N97" s="550" t="n"/>
      <x:c r="O97" s="545" t="n"/>
      <x:c r="P97" s="545" t="n"/>
      <x:c r="Q97" s="550" t="str">
        <x:f>IF(E97="","",IFERROR(VLOOKUP(E97,'2_Tính giá'!$A$12:$M$51,13,FALSE),""))</x:f>
      </x:c>
      <x:c r="R97" s="550" t="str">
        <x:f>IF(OR(A97="",H97="",Q97=""),"",H97*Q97)</x:f>
      </x:c>
      <x:c r="S97" s="550" t="str">
        <x:f>IF(A97="","",J97+M97-K97-L97)</x:f>
      </x:c>
      <x:c r="T97" s="550" t="str">
        <x:f>IF(A97="","",J97+M97-K97-L97-N97-R97)</x:f>
      </x:c>
      <x:c r="U97" s="545" t="n"/>
      <x:c r="V97" s="545" t="n"/>
    </x:row>
    <x:row r="98">
      <x:c r="A98" s="545" t="n"/>
      <x:c r="B98" s="549" t="n"/>
      <x:c r="C98" s="545" t="n"/>
      <x:c r="D98" s="545" t="n"/>
      <x:c r="E98" s="545" t="n"/>
      <x:c r="F98" s="545" t="n"/>
      <x:c r="G98" s="545" t="n"/>
      <x:c r="H98" s="545" t="n"/>
      <x:c r="I98" s="550" t="n"/>
      <x:c r="J98" s="550" t="str">
        <x:f>IF(A98="","",IFERROR(H98*I98,""))</x:f>
      </x:c>
      <x:c r="K98" s="550" t="n"/>
      <x:c r="L98" s="550" t="n"/>
      <x:c r="M98" s="550" t="n"/>
      <x:c r="N98" s="550" t="n"/>
      <x:c r="O98" s="545" t="n"/>
      <x:c r="P98" s="545" t="n"/>
      <x:c r="Q98" s="550" t="str">
        <x:f>IF(E98="","",IFERROR(VLOOKUP(E98,'2_Tính giá'!$A$12:$M$51,13,FALSE),""))</x:f>
      </x:c>
      <x:c r="R98" s="550" t="str">
        <x:f>IF(OR(A98="",H98="",Q98=""),"",H98*Q98)</x:f>
      </x:c>
      <x:c r="S98" s="550" t="str">
        <x:f>IF(A98="","",J98+M98-K98-L98)</x:f>
      </x:c>
      <x:c r="T98" s="550" t="str">
        <x:f>IF(A98="","",J98+M98-K98-L98-N98-R98)</x:f>
      </x:c>
      <x:c r="U98" s="545" t="n"/>
      <x:c r="V98" s="545" t="n"/>
    </x:row>
    <x:row r="99">
      <x:c r="A99" s="545" t="n"/>
      <x:c r="B99" s="549" t="n"/>
      <x:c r="C99" s="545" t="n"/>
      <x:c r="D99" s="545" t="n"/>
      <x:c r="E99" s="545" t="n"/>
      <x:c r="F99" s="545" t="n"/>
      <x:c r="G99" s="545" t="n"/>
      <x:c r="H99" s="545" t="n"/>
      <x:c r="I99" s="550" t="n"/>
      <x:c r="J99" s="550" t="str">
        <x:f>IF(A99="","",IFERROR(H99*I99,""))</x:f>
      </x:c>
      <x:c r="K99" s="550" t="n"/>
      <x:c r="L99" s="550" t="n"/>
      <x:c r="M99" s="550" t="n"/>
      <x:c r="N99" s="550" t="n"/>
      <x:c r="O99" s="545" t="n"/>
      <x:c r="P99" s="545" t="n"/>
      <x:c r="Q99" s="550" t="str">
        <x:f>IF(E99="","",IFERROR(VLOOKUP(E99,'2_Tính giá'!$A$12:$M$51,13,FALSE),""))</x:f>
      </x:c>
      <x:c r="R99" s="550" t="str">
        <x:f>IF(OR(A99="",H99="",Q99=""),"",H99*Q99)</x:f>
      </x:c>
      <x:c r="S99" s="550" t="str">
        <x:f>IF(A99="","",J99+M99-K99-L99)</x:f>
      </x:c>
      <x:c r="T99" s="550" t="str">
        <x:f>IF(A99="","",J99+M99-K99-L99-N99-R99)</x:f>
      </x:c>
      <x:c r="U99" s="545" t="n"/>
      <x:c r="V99" s="545" t="n"/>
    </x:row>
    <x:row r="100">
      <x:c r="A100" s="545" t="n"/>
      <x:c r="B100" s="549" t="n"/>
      <x:c r="C100" s="545" t="n"/>
      <x:c r="D100" s="545" t="n"/>
      <x:c r="E100" s="545" t="n"/>
      <x:c r="F100" s="545" t="n"/>
      <x:c r="G100" s="545" t="n"/>
      <x:c r="H100" s="545" t="n"/>
      <x:c r="I100" s="550" t="n"/>
      <x:c r="J100" s="550" t="str">
        <x:f>IF(A100="","",IFERROR(H100*I100,""))</x:f>
      </x:c>
      <x:c r="K100" s="550" t="n"/>
      <x:c r="L100" s="550" t="n"/>
      <x:c r="M100" s="550" t="n"/>
      <x:c r="N100" s="550" t="n"/>
      <x:c r="O100" s="545" t="n"/>
      <x:c r="P100" s="545" t="n"/>
      <x:c r="Q100" s="550" t="str">
        <x:f>IF(E100="","",IFERROR(VLOOKUP(E100,'2_Tính giá'!$A$12:$M$51,13,FALSE),""))</x:f>
      </x:c>
      <x:c r="R100" s="550" t="str">
        <x:f>IF(OR(A100="",H100="",Q100=""),"",H100*Q100)</x:f>
      </x:c>
      <x:c r="S100" s="550" t="str">
        <x:f>IF(A100="","",J100+M100-K100-L100)</x:f>
      </x:c>
      <x:c r="T100" s="550" t="str">
        <x:f>IF(A100="","",J100+M100-K100-L100-N100-R100)</x:f>
      </x:c>
      <x:c r="U100" s="545" t="n"/>
      <x:c r="V100" s="545" t="n"/>
    </x:row>
    <x:row r="101">
      <x:c r="A101" s="545" t="n"/>
      <x:c r="B101" s="549" t="n"/>
      <x:c r="C101" s="545" t="n"/>
      <x:c r="D101" s="545" t="n"/>
      <x:c r="E101" s="545" t="n"/>
      <x:c r="F101" s="545" t="n"/>
      <x:c r="G101" s="545" t="n"/>
      <x:c r="H101" s="545" t="n"/>
      <x:c r="I101" s="550" t="n"/>
      <x:c r="J101" s="550" t="str">
        <x:f>IF(A101="","",IFERROR(H101*I101,""))</x:f>
      </x:c>
      <x:c r="K101" s="550" t="n"/>
      <x:c r="L101" s="550" t="n"/>
      <x:c r="M101" s="550" t="n"/>
      <x:c r="N101" s="550" t="n"/>
      <x:c r="O101" s="545" t="n"/>
      <x:c r="P101" s="545" t="n"/>
      <x:c r="Q101" s="550" t="str">
        <x:f>IF(E101="","",IFERROR(VLOOKUP(E101,'2_Tính giá'!$A$12:$M$51,13,FALSE),""))</x:f>
      </x:c>
      <x:c r="R101" s="550" t="str">
        <x:f>IF(OR(A101="",H101="",Q101=""),"",H101*Q101)</x:f>
      </x:c>
      <x:c r="S101" s="550" t="str">
        <x:f>IF(A101="","",J101+M101-K101-L101)</x:f>
      </x:c>
      <x:c r="T101" s="550" t="str">
        <x:f>IF(A101="","",J101+M101-K101-L101-N101-R101)</x:f>
      </x:c>
      <x:c r="U101" s="545" t="n"/>
      <x:c r="V101" s="545" t="n"/>
    </x:row>
    <x:row r="102">
      <x:c r="A102" s="545" t="n"/>
      <x:c r="B102" s="549" t="n"/>
      <x:c r="C102" s="545" t="n"/>
      <x:c r="D102" s="545" t="n"/>
      <x:c r="E102" s="545" t="n"/>
      <x:c r="F102" s="545" t="n"/>
      <x:c r="G102" s="545" t="n"/>
      <x:c r="H102" s="545" t="n"/>
      <x:c r="I102" s="550" t="n"/>
      <x:c r="J102" s="550" t="str">
        <x:f>IF(A102="","",IFERROR(H102*I102,""))</x:f>
      </x:c>
      <x:c r="K102" s="550" t="n"/>
      <x:c r="L102" s="550" t="n"/>
      <x:c r="M102" s="550" t="n"/>
      <x:c r="N102" s="550" t="n"/>
      <x:c r="O102" s="545" t="n"/>
      <x:c r="P102" s="545" t="n"/>
      <x:c r="Q102" s="550" t="str">
        <x:f>IF(E102="","",IFERROR(VLOOKUP(E102,'2_Tính giá'!$A$12:$M$51,13,FALSE),""))</x:f>
      </x:c>
      <x:c r="R102" s="550" t="str">
        <x:f>IF(OR(A102="",H102="",Q102=""),"",H102*Q102)</x:f>
      </x:c>
      <x:c r="S102" s="550" t="str">
        <x:f>IF(A102="","",J102+M102-K102-L102)</x:f>
      </x:c>
      <x:c r="T102" s="550" t="str">
        <x:f>IF(A102="","",J102+M102-K102-L102-N102-R102)</x:f>
      </x:c>
      <x:c r="U102" s="545" t="n"/>
      <x:c r="V102" s="545" t="n"/>
    </x:row>
    <x:row r="103">
      <x:c r="A103" s="545" t="n"/>
      <x:c r="B103" s="549" t="n"/>
      <x:c r="C103" s="545" t="n"/>
      <x:c r="D103" s="545" t="n"/>
      <x:c r="E103" s="545" t="n"/>
      <x:c r="F103" s="545" t="n"/>
      <x:c r="G103" s="545" t="n"/>
      <x:c r="H103" s="545" t="n"/>
      <x:c r="I103" s="550" t="n"/>
      <x:c r="J103" s="550" t="str">
        <x:f>IF(A103="","",IFERROR(H103*I103,""))</x:f>
      </x:c>
      <x:c r="K103" s="550" t="n"/>
      <x:c r="L103" s="550" t="n"/>
      <x:c r="M103" s="550" t="n"/>
      <x:c r="N103" s="550" t="n"/>
      <x:c r="O103" s="545" t="n"/>
      <x:c r="P103" s="545" t="n"/>
      <x:c r="Q103" s="550" t="str">
        <x:f>IF(E103="","",IFERROR(VLOOKUP(E103,'2_Tính giá'!$A$12:$M$51,13,FALSE),""))</x:f>
      </x:c>
      <x:c r="R103" s="550" t="str">
        <x:f>IF(OR(A103="",H103="",Q103=""),"",H103*Q103)</x:f>
      </x:c>
      <x:c r="S103" s="550" t="str">
        <x:f>IF(A103="","",J103+M103-K103-L103)</x:f>
      </x:c>
      <x:c r="T103" s="550" t="str">
        <x:f>IF(A103="","",J103+M103-K103-L103-N103-R103)</x:f>
      </x:c>
      <x:c r="U103" s="545" t="n"/>
      <x:c r="V103" s="545" t="n"/>
    </x:row>
    <x:row r="104">
      <x:c r="A104" s="545" t="n"/>
      <x:c r="B104" s="549" t="n"/>
      <x:c r="C104" s="545" t="n"/>
      <x:c r="D104" s="545" t="n"/>
      <x:c r="E104" s="545" t="n"/>
      <x:c r="F104" s="545" t="n"/>
      <x:c r="G104" s="545" t="n"/>
      <x:c r="H104" s="545" t="n"/>
      <x:c r="I104" s="550" t="n"/>
      <x:c r="J104" s="550" t="str">
        <x:f>IF(A104="","",IFERROR(H104*I104,""))</x:f>
      </x:c>
      <x:c r="K104" s="550" t="n"/>
      <x:c r="L104" s="550" t="n"/>
      <x:c r="M104" s="550" t="n"/>
      <x:c r="N104" s="550" t="n"/>
      <x:c r="O104" s="545" t="n"/>
      <x:c r="P104" s="545" t="n"/>
      <x:c r="Q104" s="550" t="str">
        <x:f>IF(E104="","",IFERROR(VLOOKUP(E104,'2_Tính giá'!$A$12:$M$51,13,FALSE),""))</x:f>
      </x:c>
      <x:c r="R104" s="550" t="str">
        <x:f>IF(OR(A104="",H104="",Q104=""),"",H104*Q104)</x:f>
      </x:c>
      <x:c r="S104" s="550" t="str">
        <x:f>IF(A104="","",J104+M104-K104-L104)</x:f>
      </x:c>
      <x:c r="T104" s="550" t="str">
        <x:f>IF(A104="","",J104+M104-K104-L104-N104-R104)</x:f>
      </x:c>
      <x:c r="U104" s="545" t="n"/>
      <x:c r="V104" s="545" t="n"/>
    </x:row>
    <x:row r="105">
      <x:c r="A105" s="545" t="n"/>
      <x:c r="B105" s="549" t="n"/>
      <x:c r="C105" s="545" t="n"/>
      <x:c r="D105" s="545" t="n"/>
      <x:c r="E105" s="545" t="n"/>
      <x:c r="F105" s="545" t="n"/>
      <x:c r="G105" s="545" t="n"/>
      <x:c r="H105" s="545" t="n"/>
      <x:c r="I105" s="550" t="n"/>
      <x:c r="J105" s="550" t="str">
        <x:f>IF(A105="","",IFERROR(H105*I105,""))</x:f>
      </x:c>
      <x:c r="K105" s="550" t="n"/>
      <x:c r="L105" s="550" t="n"/>
      <x:c r="M105" s="550" t="n"/>
      <x:c r="N105" s="550" t="n"/>
      <x:c r="O105" s="545" t="n"/>
      <x:c r="P105" s="545" t="n"/>
      <x:c r="Q105" s="550" t="str">
        <x:f>IF(E105="","",IFERROR(VLOOKUP(E105,'2_Tính giá'!$A$12:$M$51,13,FALSE),""))</x:f>
      </x:c>
      <x:c r="R105" s="550" t="str">
        <x:f>IF(OR(A105="",H105="",Q105=""),"",H105*Q105)</x:f>
      </x:c>
      <x:c r="S105" s="550" t="str">
        <x:f>IF(A105="","",J105+M105-K105-L105)</x:f>
      </x:c>
      <x:c r="T105" s="550" t="str">
        <x:f>IF(A105="","",J105+M105-K105-L105-N105-R105)</x:f>
      </x:c>
      <x:c r="U105" s="545" t="n"/>
      <x:c r="V105" s="545" t="n"/>
    </x:row>
    <x:row r="106">
      <x:c r="A106" s="545" t="n"/>
      <x:c r="B106" s="549" t="n"/>
      <x:c r="C106" s="545" t="n"/>
      <x:c r="D106" s="545" t="n"/>
      <x:c r="E106" s="545" t="n"/>
      <x:c r="F106" s="545" t="n"/>
      <x:c r="G106" s="545" t="n"/>
      <x:c r="H106" s="545" t="n"/>
      <x:c r="I106" s="550" t="n"/>
      <x:c r="J106" s="550" t="str">
        <x:f>IF(A106="","",IFERROR(H106*I106,""))</x:f>
      </x:c>
      <x:c r="K106" s="550" t="n"/>
      <x:c r="L106" s="550" t="n"/>
      <x:c r="M106" s="550" t="n"/>
      <x:c r="N106" s="550" t="n"/>
      <x:c r="O106" s="545" t="n"/>
      <x:c r="P106" s="545" t="n"/>
      <x:c r="Q106" s="550" t="str">
        <x:f>IF(E106="","",IFERROR(VLOOKUP(E106,'2_Tính giá'!$A$12:$M$51,13,FALSE),""))</x:f>
      </x:c>
      <x:c r="R106" s="550" t="str">
        <x:f>IF(OR(A106="",H106="",Q106=""),"",H106*Q106)</x:f>
      </x:c>
      <x:c r="S106" s="550" t="str">
        <x:f>IF(A106="","",J106+M106-K106-L106)</x:f>
      </x:c>
      <x:c r="T106" s="550" t="str">
        <x:f>IF(A106="","",J106+M106-K106-L106-N106-R106)</x:f>
      </x:c>
      <x:c r="U106" s="545" t="n"/>
      <x:c r="V106" s="545" t="n"/>
    </x:row>
    <x:row r="107">
      <x:c r="A107" s="545" t="n"/>
      <x:c r="B107" s="549" t="n"/>
      <x:c r="C107" s="545" t="n"/>
      <x:c r="D107" s="545" t="n"/>
      <x:c r="E107" s="545" t="n"/>
      <x:c r="F107" s="545" t="n"/>
      <x:c r="G107" s="545" t="n"/>
      <x:c r="H107" s="545" t="n"/>
      <x:c r="I107" s="550" t="n"/>
      <x:c r="J107" s="550" t="str">
        <x:f>IF(A107="","",IFERROR(H107*I107,""))</x:f>
      </x:c>
      <x:c r="K107" s="550" t="n"/>
      <x:c r="L107" s="550" t="n"/>
      <x:c r="M107" s="550" t="n"/>
      <x:c r="N107" s="550" t="n"/>
      <x:c r="O107" s="545" t="n"/>
      <x:c r="P107" s="545" t="n"/>
      <x:c r="Q107" s="550" t="str">
        <x:f>IF(E107="","",IFERROR(VLOOKUP(E107,'2_Tính giá'!$A$12:$M$51,13,FALSE),""))</x:f>
      </x:c>
      <x:c r="R107" s="550" t="str">
        <x:f>IF(OR(A107="",H107="",Q107=""),"",H107*Q107)</x:f>
      </x:c>
      <x:c r="S107" s="550" t="str">
        <x:f>IF(A107="","",J107+M107-K107-L107)</x:f>
      </x:c>
      <x:c r="T107" s="550" t="str">
        <x:f>IF(A107="","",J107+M107-K107-L107-N107-R107)</x:f>
      </x:c>
      <x:c r="U107" s="545" t="n"/>
      <x:c r="V107" s="545" t="n"/>
    </x:row>
    <x:row r="108">
      <x:c r="A108" s="545" t="n"/>
      <x:c r="B108" s="549" t="n"/>
      <x:c r="C108" s="545" t="n"/>
      <x:c r="D108" s="545" t="n"/>
      <x:c r="E108" s="545" t="n"/>
      <x:c r="F108" s="545" t="n"/>
      <x:c r="G108" s="545" t="n"/>
      <x:c r="H108" s="545" t="n"/>
      <x:c r="I108" s="550" t="n"/>
      <x:c r="J108" s="550" t="str">
        <x:f>IF(A108="","",IFERROR(H108*I108,""))</x:f>
      </x:c>
      <x:c r="K108" s="550" t="n"/>
      <x:c r="L108" s="550" t="n"/>
      <x:c r="M108" s="550" t="n"/>
      <x:c r="N108" s="550" t="n"/>
      <x:c r="O108" s="545" t="n"/>
      <x:c r="P108" s="545" t="n"/>
      <x:c r="Q108" s="550" t="str">
        <x:f>IF(E108="","",IFERROR(VLOOKUP(E108,'2_Tính giá'!$A$12:$M$51,13,FALSE),""))</x:f>
      </x:c>
      <x:c r="R108" s="550" t="str">
        <x:f>IF(OR(A108="",H108="",Q108=""),"",H108*Q108)</x:f>
      </x:c>
      <x:c r="S108" s="550" t="str">
        <x:f>IF(A108="","",J108+M108-K108-L108)</x:f>
      </x:c>
      <x:c r="T108" s="550" t="str">
        <x:f>IF(A108="","",J108+M108-K108-L108-N108-R108)</x:f>
      </x:c>
      <x:c r="U108" s="545" t="n"/>
      <x:c r="V108" s="545" t="n"/>
    </x:row>
    <x:row r="109">
      <x:c r="A109" s="545" t="n"/>
      <x:c r="B109" s="549" t="n"/>
      <x:c r="C109" s="545" t="n"/>
      <x:c r="D109" s="545" t="n"/>
      <x:c r="E109" s="545" t="n"/>
      <x:c r="F109" s="545" t="n"/>
      <x:c r="G109" s="545" t="n"/>
      <x:c r="H109" s="545" t="n"/>
      <x:c r="I109" s="550" t="n"/>
      <x:c r="J109" s="550" t="str">
        <x:f>IF(A109="","",IFERROR(H109*I109,""))</x:f>
      </x:c>
      <x:c r="K109" s="550" t="n"/>
      <x:c r="L109" s="550" t="n"/>
      <x:c r="M109" s="550" t="n"/>
      <x:c r="N109" s="550" t="n"/>
      <x:c r="O109" s="545" t="n"/>
      <x:c r="P109" s="545" t="n"/>
      <x:c r="Q109" s="550" t="str">
        <x:f>IF(E109="","",IFERROR(VLOOKUP(E109,'2_Tính giá'!$A$12:$M$51,13,FALSE),""))</x:f>
      </x:c>
      <x:c r="R109" s="550" t="str">
        <x:f>IF(OR(A109="",H109="",Q109=""),"",H109*Q109)</x:f>
      </x:c>
      <x:c r="S109" s="550" t="str">
        <x:f>IF(A109="","",J109+M109-K109-L109)</x:f>
      </x:c>
      <x:c r="T109" s="550" t="str">
        <x:f>IF(A109="","",J109+M109-K109-L109-N109-R109)</x:f>
      </x:c>
      <x:c r="U109" s="545" t="n"/>
      <x:c r="V109" s="545" t="n"/>
    </x:row>
    <x:row r="110">
      <x:c r="A110" s="545" t="n"/>
      <x:c r="B110" s="549" t="n"/>
      <x:c r="C110" s="545" t="n"/>
      <x:c r="D110" s="545" t="n"/>
      <x:c r="E110" s="545" t="n"/>
      <x:c r="F110" s="545" t="n"/>
      <x:c r="G110" s="545" t="n"/>
      <x:c r="H110" s="545" t="n"/>
      <x:c r="I110" s="550" t="n"/>
      <x:c r="J110" s="550" t="str">
        <x:f>IF(A110="","",IFERROR(H110*I110,""))</x:f>
      </x:c>
      <x:c r="K110" s="550" t="n"/>
      <x:c r="L110" s="550" t="n"/>
      <x:c r="M110" s="550" t="n"/>
      <x:c r="N110" s="550" t="n"/>
      <x:c r="O110" s="545" t="n"/>
      <x:c r="P110" s="545" t="n"/>
      <x:c r="Q110" s="550" t="str">
        <x:f>IF(E110="","",IFERROR(VLOOKUP(E110,'2_Tính giá'!$A$12:$M$51,13,FALSE),""))</x:f>
      </x:c>
      <x:c r="R110" s="550" t="str">
        <x:f>IF(OR(A110="",H110="",Q110=""),"",H110*Q110)</x:f>
      </x:c>
      <x:c r="S110" s="550" t="str">
        <x:f>IF(A110="","",J110+M110-K110-L110)</x:f>
      </x:c>
      <x:c r="T110" s="550" t="str">
        <x:f>IF(A110="","",J110+M110-K110-L110-N110-R110)</x:f>
      </x:c>
      <x:c r="U110" s="545" t="n"/>
      <x:c r="V110" s="545" t="n"/>
    </x:row>
    <x:row r="111">
      <x:c r="A111" s="545" t="n"/>
      <x:c r="B111" s="549" t="n"/>
      <x:c r="C111" s="545" t="n"/>
      <x:c r="D111" s="545" t="n"/>
      <x:c r="E111" s="545" t="n"/>
      <x:c r="F111" s="545" t="n"/>
      <x:c r="G111" s="545" t="n"/>
      <x:c r="H111" s="545" t="n"/>
      <x:c r="I111" s="550" t="n"/>
      <x:c r="J111" s="550" t="str">
        <x:f>IF(A111="","",IFERROR(H111*I111,""))</x:f>
      </x:c>
      <x:c r="K111" s="550" t="n"/>
      <x:c r="L111" s="550" t="n"/>
      <x:c r="M111" s="550" t="n"/>
      <x:c r="N111" s="550" t="n"/>
      <x:c r="O111" s="545" t="n"/>
      <x:c r="P111" s="545" t="n"/>
      <x:c r="Q111" s="550" t="str">
        <x:f>IF(E111="","",IFERROR(VLOOKUP(E111,'2_Tính giá'!$A$12:$M$51,13,FALSE),""))</x:f>
      </x:c>
      <x:c r="R111" s="550" t="str">
        <x:f>IF(OR(A111="",H111="",Q111=""),"",H111*Q111)</x:f>
      </x:c>
      <x:c r="S111" s="550" t="str">
        <x:f>IF(A111="","",J111+M111-K111-L111)</x:f>
      </x:c>
      <x:c r="T111" s="550" t="str">
        <x:f>IF(A111="","",J111+M111-K111-L111-N111-R111)</x:f>
      </x:c>
      <x:c r="U111" s="545" t="n"/>
      <x:c r="V111" s="545" t="n"/>
    </x:row>
    <x:row r="112">
      <x:c r="A112" s="545" t="n"/>
      <x:c r="B112" s="549" t="n"/>
      <x:c r="C112" s="545" t="n"/>
      <x:c r="D112" s="545" t="n"/>
      <x:c r="E112" s="545" t="n"/>
      <x:c r="F112" s="545" t="n"/>
      <x:c r="G112" s="545" t="n"/>
      <x:c r="H112" s="545" t="n"/>
      <x:c r="I112" s="550" t="n"/>
      <x:c r="J112" s="550" t="str">
        <x:f>IF(A112="","",IFERROR(H112*I112,""))</x:f>
      </x:c>
      <x:c r="K112" s="550" t="n"/>
      <x:c r="L112" s="550" t="n"/>
      <x:c r="M112" s="550" t="n"/>
      <x:c r="N112" s="550" t="n"/>
      <x:c r="O112" s="545" t="n"/>
      <x:c r="P112" s="545" t="n"/>
      <x:c r="Q112" s="550" t="str">
        <x:f>IF(E112="","",IFERROR(VLOOKUP(E112,'2_Tính giá'!$A$12:$M$51,13,FALSE),""))</x:f>
      </x:c>
      <x:c r="R112" s="550" t="str">
        <x:f>IF(OR(A112="",H112="",Q112=""),"",H112*Q112)</x:f>
      </x:c>
      <x:c r="S112" s="550" t="str">
        <x:f>IF(A112="","",J112+M112-K112-L112)</x:f>
      </x:c>
      <x:c r="T112" s="550" t="str">
        <x:f>IF(A112="","",J112+M112-K112-L112-N112-R112)</x:f>
      </x:c>
      <x:c r="U112" s="545" t="n"/>
      <x:c r="V112" s="545" t="n"/>
    </x:row>
    <x:row r="113">
      <x:c r="A113" s="545" t="n"/>
      <x:c r="B113" s="549" t="n"/>
      <x:c r="C113" s="545" t="n"/>
      <x:c r="D113" s="545" t="n"/>
      <x:c r="E113" s="545" t="n"/>
      <x:c r="F113" s="545" t="n"/>
      <x:c r="G113" s="545" t="n"/>
      <x:c r="H113" s="545" t="n"/>
      <x:c r="I113" s="550" t="n"/>
      <x:c r="J113" s="550" t="str">
        <x:f>IF(A113="","",IFERROR(H113*I113,""))</x:f>
      </x:c>
      <x:c r="K113" s="550" t="n"/>
      <x:c r="L113" s="550" t="n"/>
      <x:c r="M113" s="550" t="n"/>
      <x:c r="N113" s="550" t="n"/>
      <x:c r="O113" s="545" t="n"/>
      <x:c r="P113" s="545" t="n"/>
      <x:c r="Q113" s="550" t="str">
        <x:f>IF(E113="","",IFERROR(VLOOKUP(E113,'2_Tính giá'!$A$12:$M$51,13,FALSE),""))</x:f>
      </x:c>
      <x:c r="R113" s="550" t="str">
        <x:f>IF(OR(A113="",H113="",Q113=""),"",H113*Q113)</x:f>
      </x:c>
      <x:c r="S113" s="550" t="str">
        <x:f>IF(A113="","",J113+M113-K113-L113)</x:f>
      </x:c>
      <x:c r="T113" s="550" t="str">
        <x:f>IF(A113="","",J113+M113-K113-L113-N113-R113)</x:f>
      </x:c>
      <x:c r="U113" s="545" t="n"/>
      <x:c r="V113" s="545" t="n"/>
    </x:row>
    <x:row r="114">
      <x:c r="A114" s="545" t="n"/>
      <x:c r="B114" s="549" t="n"/>
      <x:c r="C114" s="545" t="n"/>
      <x:c r="D114" s="545" t="n"/>
      <x:c r="E114" s="545" t="n"/>
      <x:c r="F114" s="545" t="n"/>
      <x:c r="G114" s="545" t="n"/>
      <x:c r="H114" s="545" t="n"/>
      <x:c r="I114" s="550" t="n"/>
      <x:c r="J114" s="550" t="str">
        <x:f>IF(A114="","",IFERROR(H114*I114,""))</x:f>
      </x:c>
      <x:c r="K114" s="550" t="n"/>
      <x:c r="L114" s="550" t="n"/>
      <x:c r="M114" s="550" t="n"/>
      <x:c r="N114" s="550" t="n"/>
      <x:c r="O114" s="545" t="n"/>
      <x:c r="P114" s="545" t="n"/>
      <x:c r="Q114" s="550" t="str">
        <x:f>IF(E114="","",IFERROR(VLOOKUP(E114,'2_Tính giá'!$A$12:$M$51,13,FALSE),""))</x:f>
      </x:c>
      <x:c r="R114" s="550" t="str">
        <x:f>IF(OR(A114="",H114="",Q114=""),"",H114*Q114)</x:f>
      </x:c>
      <x:c r="S114" s="550" t="str">
        <x:f>IF(A114="","",J114+M114-K114-L114)</x:f>
      </x:c>
      <x:c r="T114" s="550" t="str">
        <x:f>IF(A114="","",J114+M114-K114-L114-N114-R114)</x:f>
      </x:c>
      <x:c r="U114" s="545" t="n"/>
      <x:c r="V114" s="545" t="n"/>
    </x:row>
    <x:row r="115">
      <x:c r="A115" s="545" t="n"/>
      <x:c r="B115" s="549" t="n"/>
      <x:c r="C115" s="545" t="n"/>
      <x:c r="D115" s="545" t="n"/>
      <x:c r="E115" s="545" t="n"/>
      <x:c r="F115" s="545" t="n"/>
      <x:c r="G115" s="545" t="n"/>
      <x:c r="H115" s="545" t="n"/>
      <x:c r="I115" s="550" t="n"/>
      <x:c r="J115" s="550" t="str">
        <x:f>IF(A115="","",IFERROR(H115*I115,""))</x:f>
      </x:c>
      <x:c r="K115" s="550" t="n"/>
      <x:c r="L115" s="550" t="n"/>
      <x:c r="M115" s="550" t="n"/>
      <x:c r="N115" s="550" t="n"/>
      <x:c r="O115" s="545" t="n"/>
      <x:c r="P115" s="545" t="n"/>
      <x:c r="Q115" s="550" t="str">
        <x:f>IF(E115="","",IFERROR(VLOOKUP(E115,'2_Tính giá'!$A$12:$M$51,13,FALSE),""))</x:f>
      </x:c>
      <x:c r="R115" s="550" t="str">
        <x:f>IF(OR(A115="",H115="",Q115=""),"",H115*Q115)</x:f>
      </x:c>
      <x:c r="S115" s="550" t="str">
        <x:f>IF(A115="","",J115+M115-K115-L115)</x:f>
      </x:c>
      <x:c r="T115" s="550" t="str">
        <x:f>IF(A115="","",J115+M115-K115-L115-N115-R115)</x:f>
      </x:c>
      <x:c r="U115" s="545" t="n"/>
      <x:c r="V115" s="545" t="n"/>
    </x:row>
    <x:row r="116">
      <x:c r="A116" s="545" t="n"/>
      <x:c r="B116" s="549" t="n"/>
      <x:c r="C116" s="545" t="n"/>
      <x:c r="D116" s="545" t="n"/>
      <x:c r="E116" s="545" t="n"/>
      <x:c r="F116" s="545" t="n"/>
      <x:c r="G116" s="545" t="n"/>
      <x:c r="H116" s="545" t="n"/>
      <x:c r="I116" s="550" t="n"/>
      <x:c r="J116" s="550" t="str">
        <x:f>IF(A116="","",IFERROR(H116*I116,""))</x:f>
      </x:c>
      <x:c r="K116" s="550" t="n"/>
      <x:c r="L116" s="550" t="n"/>
      <x:c r="M116" s="550" t="n"/>
      <x:c r="N116" s="550" t="n"/>
      <x:c r="O116" s="545" t="n"/>
      <x:c r="P116" s="545" t="n"/>
      <x:c r="Q116" s="550" t="str">
        <x:f>IF(E116="","",IFERROR(VLOOKUP(E116,'2_Tính giá'!$A$12:$M$51,13,FALSE),""))</x:f>
      </x:c>
      <x:c r="R116" s="550" t="str">
        <x:f>IF(OR(A116="",H116="",Q116=""),"",H116*Q116)</x:f>
      </x:c>
      <x:c r="S116" s="550" t="str">
        <x:f>IF(A116="","",J116+M116-K116-L116)</x:f>
      </x:c>
      <x:c r="T116" s="550" t="str">
        <x:f>IF(A116="","",J116+M116-K116-L116-N116-R116)</x:f>
      </x:c>
      <x:c r="U116" s="545" t="n"/>
      <x:c r="V116" s="545" t="n"/>
    </x:row>
    <x:row r="117">
      <x:c r="A117" s="545" t="n"/>
      <x:c r="B117" s="549" t="n"/>
      <x:c r="C117" s="545" t="n"/>
      <x:c r="D117" s="545" t="n"/>
      <x:c r="E117" s="545" t="n"/>
      <x:c r="F117" s="545" t="n"/>
      <x:c r="G117" s="545" t="n"/>
      <x:c r="H117" s="545" t="n"/>
      <x:c r="I117" s="550" t="n"/>
      <x:c r="J117" s="550" t="str">
        <x:f>IF(A117="","",IFERROR(H117*I117,""))</x:f>
      </x:c>
      <x:c r="K117" s="550" t="n"/>
      <x:c r="L117" s="550" t="n"/>
      <x:c r="M117" s="550" t="n"/>
      <x:c r="N117" s="550" t="n"/>
      <x:c r="O117" s="545" t="n"/>
      <x:c r="P117" s="545" t="n"/>
      <x:c r="Q117" s="550" t="str">
        <x:f>IF(E117="","",IFERROR(VLOOKUP(E117,'2_Tính giá'!$A$12:$M$51,13,FALSE),""))</x:f>
      </x:c>
      <x:c r="R117" s="550" t="str">
        <x:f>IF(OR(A117="",H117="",Q117=""),"",H117*Q117)</x:f>
      </x:c>
      <x:c r="S117" s="550" t="str">
        <x:f>IF(A117="","",J117+M117-K117-L117)</x:f>
      </x:c>
      <x:c r="T117" s="550" t="str">
        <x:f>IF(A117="","",J117+M117-K117-L117-N117-R117)</x:f>
      </x:c>
      <x:c r="U117" s="545" t="n"/>
      <x:c r="V117" s="545" t="n"/>
    </x:row>
    <x:row r="118">
      <x:c r="A118" s="545" t="n"/>
      <x:c r="B118" s="549" t="n"/>
      <x:c r="C118" s="545" t="n"/>
      <x:c r="D118" s="545" t="n"/>
      <x:c r="E118" s="545" t="n"/>
      <x:c r="F118" s="545" t="n"/>
      <x:c r="G118" s="545" t="n"/>
      <x:c r="H118" s="545" t="n"/>
      <x:c r="I118" s="550" t="n"/>
      <x:c r="J118" s="550" t="str">
        <x:f>IF(A118="","",IFERROR(H118*I118,""))</x:f>
      </x:c>
      <x:c r="K118" s="550" t="n"/>
      <x:c r="L118" s="550" t="n"/>
      <x:c r="M118" s="550" t="n"/>
      <x:c r="N118" s="550" t="n"/>
      <x:c r="O118" s="545" t="n"/>
      <x:c r="P118" s="545" t="n"/>
      <x:c r="Q118" s="550" t="str">
        <x:f>IF(E118="","",IFERROR(VLOOKUP(E118,'2_Tính giá'!$A$12:$M$51,13,FALSE),""))</x:f>
      </x:c>
      <x:c r="R118" s="550" t="str">
        <x:f>IF(OR(A118="",H118="",Q118=""),"",H118*Q118)</x:f>
      </x:c>
      <x:c r="S118" s="550" t="str">
        <x:f>IF(A118="","",J118+M118-K118-L118)</x:f>
      </x:c>
      <x:c r="T118" s="550" t="str">
        <x:f>IF(A118="","",J118+M118-K118-L118-N118-R118)</x:f>
      </x:c>
      <x:c r="U118" s="545" t="n"/>
      <x:c r="V118" s="545" t="n"/>
    </x:row>
    <x:row r="119">
      <x:c r="A119" s="545" t="n"/>
      <x:c r="B119" s="549" t="n"/>
      <x:c r="C119" s="545" t="n"/>
      <x:c r="D119" s="545" t="n"/>
      <x:c r="E119" s="545" t="n"/>
      <x:c r="F119" s="545" t="n"/>
      <x:c r="G119" s="545" t="n"/>
      <x:c r="H119" s="545" t="n"/>
      <x:c r="I119" s="550" t="n"/>
      <x:c r="J119" s="550" t="str">
        <x:f>IF(A119="","",IFERROR(H119*I119,""))</x:f>
      </x:c>
      <x:c r="K119" s="550" t="n"/>
      <x:c r="L119" s="550" t="n"/>
      <x:c r="M119" s="550" t="n"/>
      <x:c r="N119" s="550" t="n"/>
      <x:c r="O119" s="545" t="n"/>
      <x:c r="P119" s="545" t="n"/>
      <x:c r="Q119" s="550" t="str">
        <x:f>IF(E119="","",IFERROR(VLOOKUP(E119,'2_Tính giá'!$A$12:$M$51,13,FALSE),""))</x:f>
      </x:c>
      <x:c r="R119" s="550" t="str">
        <x:f>IF(OR(A119="",H119="",Q119=""),"",H119*Q119)</x:f>
      </x:c>
      <x:c r="S119" s="550" t="str">
        <x:f>IF(A119="","",J119+M119-K119-L119)</x:f>
      </x:c>
      <x:c r="T119" s="550" t="str">
        <x:f>IF(A119="","",J119+M119-K119-L119-N119-R119)</x:f>
      </x:c>
      <x:c r="U119" s="545" t="n"/>
      <x:c r="V119" s="545" t="n"/>
    </x:row>
    <x:row r="120">
      <x:c r="A120" s="545" t="n"/>
      <x:c r="B120" s="549" t="n"/>
      <x:c r="C120" s="545" t="n"/>
      <x:c r="D120" s="545" t="n"/>
      <x:c r="E120" s="545" t="n"/>
      <x:c r="F120" s="545" t="n"/>
      <x:c r="G120" s="545" t="n"/>
      <x:c r="H120" s="545" t="n"/>
      <x:c r="I120" s="550" t="n"/>
      <x:c r="J120" s="550" t="str">
        <x:f>IF(A120="","",IFERROR(H120*I120,""))</x:f>
      </x:c>
      <x:c r="K120" s="550" t="n"/>
      <x:c r="L120" s="550" t="n"/>
      <x:c r="M120" s="550" t="n"/>
      <x:c r="N120" s="550" t="n"/>
      <x:c r="O120" s="545" t="n"/>
      <x:c r="P120" s="545" t="n"/>
      <x:c r="Q120" s="550" t="str">
        <x:f>IF(E120="","",IFERROR(VLOOKUP(E120,'2_Tính giá'!$A$12:$M$51,13,FALSE),""))</x:f>
      </x:c>
      <x:c r="R120" s="550" t="str">
        <x:f>IF(OR(A120="",H120="",Q120=""),"",H120*Q120)</x:f>
      </x:c>
      <x:c r="S120" s="550" t="str">
        <x:f>IF(A120="","",J120+M120-K120-L120)</x:f>
      </x:c>
      <x:c r="T120" s="550" t="str">
        <x:f>IF(A120="","",J120+M120-K120-L120-N120-R120)</x:f>
      </x:c>
      <x:c r="U120" s="545" t="n"/>
      <x:c r="V120" s="545" t="n"/>
    </x:row>
    <x:row r="121">
      <x:c r="A121" s="545" t="n"/>
      <x:c r="B121" s="549" t="n"/>
      <x:c r="C121" s="545" t="n"/>
      <x:c r="D121" s="545" t="n"/>
      <x:c r="E121" s="545" t="n"/>
      <x:c r="F121" s="545" t="n"/>
      <x:c r="G121" s="545" t="n"/>
      <x:c r="H121" s="545" t="n"/>
      <x:c r="I121" s="550" t="n"/>
      <x:c r="J121" s="550" t="str">
        <x:f>IF(A121="","",IFERROR(H121*I121,""))</x:f>
      </x:c>
      <x:c r="K121" s="550" t="n"/>
      <x:c r="L121" s="550" t="n"/>
      <x:c r="M121" s="550" t="n"/>
      <x:c r="N121" s="550" t="n"/>
      <x:c r="O121" s="545" t="n"/>
      <x:c r="P121" s="545" t="n"/>
      <x:c r="Q121" s="550" t="str">
        <x:f>IF(E121="","",IFERROR(VLOOKUP(E121,'2_Tính giá'!$A$12:$M$51,13,FALSE),""))</x:f>
      </x:c>
      <x:c r="R121" s="550" t="str">
        <x:f>IF(OR(A121="",H121="",Q121=""),"",H121*Q121)</x:f>
      </x:c>
      <x:c r="S121" s="550" t="str">
        <x:f>IF(A121="","",J121+M121-K121-L121)</x:f>
      </x:c>
      <x:c r="T121" s="550" t="str">
        <x:f>IF(A121="","",J121+M121-K121-L121-N121-R121)</x:f>
      </x:c>
      <x:c r="U121" s="545" t="n"/>
      <x:c r="V121" s="545" t="n"/>
    </x:row>
    <x:row r="122">
      <x:c r="A122" s="545" t="n"/>
      <x:c r="B122" s="549" t="n"/>
      <x:c r="C122" s="545" t="n"/>
      <x:c r="D122" s="545" t="n"/>
      <x:c r="E122" s="545" t="n"/>
      <x:c r="F122" s="545" t="n"/>
      <x:c r="G122" s="545" t="n"/>
      <x:c r="H122" s="545" t="n"/>
      <x:c r="I122" s="550" t="n"/>
      <x:c r="J122" s="550" t="str">
        <x:f>IF(A122="","",IFERROR(H122*I122,""))</x:f>
      </x:c>
      <x:c r="K122" s="550" t="n"/>
      <x:c r="L122" s="550" t="n"/>
      <x:c r="M122" s="550" t="n"/>
      <x:c r="N122" s="550" t="n"/>
      <x:c r="O122" s="545" t="n"/>
      <x:c r="P122" s="545" t="n"/>
      <x:c r="Q122" s="550" t="str">
        <x:f>IF(E122="","",IFERROR(VLOOKUP(E122,'2_Tính giá'!$A$12:$M$51,13,FALSE),""))</x:f>
      </x:c>
      <x:c r="R122" s="550" t="str">
        <x:f>IF(OR(A122="",H122="",Q122=""),"",H122*Q122)</x:f>
      </x:c>
      <x:c r="S122" s="550" t="str">
        <x:f>IF(A122="","",J122+M122-K122-L122)</x:f>
      </x:c>
      <x:c r="T122" s="550" t="str">
        <x:f>IF(A122="","",J122+M122-K122-L122-N122-R122)</x:f>
      </x:c>
      <x:c r="U122" s="545" t="n"/>
      <x:c r="V122" s="545" t="n"/>
    </x:row>
    <x:row r="123">
      <x:c r="A123" s="545" t="n"/>
      <x:c r="B123" s="549" t="n"/>
      <x:c r="C123" s="545" t="n"/>
      <x:c r="D123" s="545" t="n"/>
      <x:c r="E123" s="545" t="n"/>
      <x:c r="F123" s="545" t="n"/>
      <x:c r="G123" s="545" t="n"/>
      <x:c r="H123" s="545" t="n"/>
      <x:c r="I123" s="550" t="n"/>
      <x:c r="J123" s="550" t="str">
        <x:f>IF(A123="","",IFERROR(H123*I123,""))</x:f>
      </x:c>
      <x:c r="K123" s="550" t="n"/>
      <x:c r="L123" s="550" t="n"/>
      <x:c r="M123" s="550" t="n"/>
      <x:c r="N123" s="550" t="n"/>
      <x:c r="O123" s="545" t="n"/>
      <x:c r="P123" s="545" t="n"/>
      <x:c r="Q123" s="550" t="str">
        <x:f>IF(E123="","",IFERROR(VLOOKUP(E123,'2_Tính giá'!$A$12:$M$51,13,FALSE),""))</x:f>
      </x:c>
      <x:c r="R123" s="550" t="str">
        <x:f>IF(OR(A123="",H123="",Q123=""),"",H123*Q123)</x:f>
      </x:c>
      <x:c r="S123" s="550" t="str">
        <x:f>IF(A123="","",J123+M123-K123-L123)</x:f>
      </x:c>
      <x:c r="T123" s="550" t="str">
        <x:f>IF(A123="","",J123+M123-K123-L123-N123-R123)</x:f>
      </x:c>
      <x:c r="U123" s="545" t="n"/>
      <x:c r="V123" s="545" t="n"/>
    </x:row>
    <x:row r="124">
      <x:c r="A124" s="545" t="n"/>
      <x:c r="B124" s="549" t="n"/>
      <x:c r="C124" s="545" t="n"/>
      <x:c r="D124" s="545" t="n"/>
      <x:c r="E124" s="545" t="n"/>
      <x:c r="F124" s="545" t="n"/>
      <x:c r="G124" s="545" t="n"/>
      <x:c r="H124" s="545" t="n"/>
      <x:c r="I124" s="550" t="n"/>
      <x:c r="J124" s="550" t="str">
        <x:f>IF(A124="","",IFERROR(H124*I124,""))</x:f>
      </x:c>
      <x:c r="K124" s="550" t="n"/>
      <x:c r="L124" s="550" t="n"/>
      <x:c r="M124" s="550" t="n"/>
      <x:c r="N124" s="550" t="n"/>
      <x:c r="O124" s="545" t="n"/>
      <x:c r="P124" s="545" t="n"/>
      <x:c r="Q124" s="550" t="str">
        <x:f>IF(E124="","",IFERROR(VLOOKUP(E124,'2_Tính giá'!$A$12:$M$51,13,FALSE),""))</x:f>
      </x:c>
      <x:c r="R124" s="550" t="str">
        <x:f>IF(OR(A124="",H124="",Q124=""),"",H124*Q124)</x:f>
      </x:c>
      <x:c r="S124" s="550" t="str">
        <x:f>IF(A124="","",J124+M124-K124-L124)</x:f>
      </x:c>
      <x:c r="T124" s="550" t="str">
        <x:f>IF(A124="","",J124+M124-K124-L124-N124-R124)</x:f>
      </x:c>
      <x:c r="U124" s="545" t="n"/>
      <x:c r="V124" s="545" t="n"/>
    </x:row>
    <x:row r="125">
      <x:c r="A125" s="545" t="n"/>
      <x:c r="B125" s="549" t="n"/>
      <x:c r="C125" s="545" t="n"/>
      <x:c r="D125" s="545" t="n"/>
      <x:c r="E125" s="545" t="n"/>
      <x:c r="F125" s="545" t="n"/>
      <x:c r="G125" s="545" t="n"/>
      <x:c r="H125" s="545" t="n"/>
      <x:c r="I125" s="550" t="n"/>
      <x:c r="J125" s="550" t="str">
        <x:f>IF(A125="","",IFERROR(H125*I125,""))</x:f>
      </x:c>
      <x:c r="K125" s="550" t="n"/>
      <x:c r="L125" s="550" t="n"/>
      <x:c r="M125" s="550" t="n"/>
      <x:c r="N125" s="550" t="n"/>
      <x:c r="O125" s="545" t="n"/>
      <x:c r="P125" s="545" t="n"/>
      <x:c r="Q125" s="550" t="str">
        <x:f>IF(E125="","",IFERROR(VLOOKUP(E125,'2_Tính giá'!$A$12:$M$51,13,FALSE),""))</x:f>
      </x:c>
      <x:c r="R125" s="550" t="str">
        <x:f>IF(OR(A125="",H125="",Q125=""),"",H125*Q125)</x:f>
      </x:c>
      <x:c r="S125" s="550" t="str">
        <x:f>IF(A125="","",J125+M125-K125-L125)</x:f>
      </x:c>
      <x:c r="T125" s="550" t="str">
        <x:f>IF(A125="","",J125+M125-K125-L125-N125-R125)</x:f>
      </x:c>
      <x:c r="U125" s="545" t="n"/>
      <x:c r="V125" s="545" t="n"/>
    </x:row>
    <x:row r="126">
      <x:c r="A126" s="545" t="n"/>
      <x:c r="B126" s="549" t="n"/>
      <x:c r="C126" s="545" t="n"/>
      <x:c r="D126" s="545" t="n"/>
      <x:c r="E126" s="545" t="n"/>
      <x:c r="F126" s="545" t="n"/>
      <x:c r="G126" s="545" t="n"/>
      <x:c r="H126" s="545" t="n"/>
      <x:c r="I126" s="550" t="n"/>
      <x:c r="J126" s="550" t="str">
        <x:f>IF(A126="","",IFERROR(H126*I126,""))</x:f>
      </x:c>
      <x:c r="K126" s="550" t="n"/>
      <x:c r="L126" s="550" t="n"/>
      <x:c r="M126" s="550" t="n"/>
      <x:c r="N126" s="550" t="n"/>
      <x:c r="O126" s="545" t="n"/>
      <x:c r="P126" s="545" t="n"/>
      <x:c r="Q126" s="550" t="str">
        <x:f>IF(E126="","",IFERROR(VLOOKUP(E126,'2_Tính giá'!$A$12:$M$51,13,FALSE),""))</x:f>
      </x:c>
      <x:c r="R126" s="550" t="str">
        <x:f>IF(OR(A126="",H126="",Q126=""),"",H126*Q126)</x:f>
      </x:c>
      <x:c r="S126" s="550" t="str">
        <x:f>IF(A126="","",J126+M126-K126-L126)</x:f>
      </x:c>
      <x:c r="T126" s="550" t="str">
        <x:f>IF(A126="","",J126+M126-K126-L126-N126-R126)</x:f>
      </x:c>
      <x:c r="U126" s="545" t="n"/>
      <x:c r="V126" s="545" t="n"/>
    </x:row>
    <x:row r="127">
      <x:c r="A127" s="545" t="n"/>
      <x:c r="B127" s="549" t="n"/>
      <x:c r="C127" s="545" t="n"/>
      <x:c r="D127" s="545" t="n"/>
      <x:c r="E127" s="545" t="n"/>
      <x:c r="F127" s="545" t="n"/>
      <x:c r="G127" s="545" t="n"/>
      <x:c r="H127" s="545" t="n"/>
      <x:c r="I127" s="550" t="n"/>
      <x:c r="J127" s="550" t="str">
        <x:f>IF(A127="","",IFERROR(H127*I127,""))</x:f>
      </x:c>
      <x:c r="K127" s="550" t="n"/>
      <x:c r="L127" s="550" t="n"/>
      <x:c r="M127" s="550" t="n"/>
      <x:c r="N127" s="550" t="n"/>
      <x:c r="O127" s="545" t="n"/>
      <x:c r="P127" s="545" t="n"/>
      <x:c r="Q127" s="550" t="str">
        <x:f>IF(E127="","",IFERROR(VLOOKUP(E127,'2_Tính giá'!$A$12:$M$51,13,FALSE),""))</x:f>
      </x:c>
      <x:c r="R127" s="550" t="str">
        <x:f>IF(OR(A127="",H127="",Q127=""),"",H127*Q127)</x:f>
      </x:c>
      <x:c r="S127" s="550" t="str">
        <x:f>IF(A127="","",J127+M127-K127-L127)</x:f>
      </x:c>
      <x:c r="T127" s="550" t="str">
        <x:f>IF(A127="","",J127+M127-K127-L127-N127-R127)</x:f>
      </x:c>
      <x:c r="U127" s="545" t="n"/>
      <x:c r="V127" s="545" t="n"/>
    </x:row>
    <x:row r="128">
      <x:c r="A128" s="545" t="n"/>
      <x:c r="B128" s="549" t="n"/>
      <x:c r="C128" s="545" t="n"/>
      <x:c r="D128" s="545" t="n"/>
      <x:c r="E128" s="545" t="n"/>
      <x:c r="F128" s="545" t="n"/>
      <x:c r="G128" s="545" t="n"/>
      <x:c r="H128" s="545" t="n"/>
      <x:c r="I128" s="550" t="n"/>
      <x:c r="J128" s="550" t="str">
        <x:f>IF(A128="","",IFERROR(H128*I128,""))</x:f>
      </x:c>
      <x:c r="K128" s="550" t="n"/>
      <x:c r="L128" s="550" t="n"/>
      <x:c r="M128" s="550" t="n"/>
      <x:c r="N128" s="550" t="n"/>
      <x:c r="O128" s="545" t="n"/>
      <x:c r="P128" s="545" t="n"/>
      <x:c r="Q128" s="550" t="str">
        <x:f>IF(E128="","",IFERROR(VLOOKUP(E128,'2_Tính giá'!$A$12:$M$51,13,FALSE),""))</x:f>
      </x:c>
      <x:c r="R128" s="550" t="str">
        <x:f>IF(OR(A128="",H128="",Q128=""),"",H128*Q128)</x:f>
      </x:c>
      <x:c r="S128" s="550" t="str">
        <x:f>IF(A128="","",J128+M128-K128-L128)</x:f>
      </x:c>
      <x:c r="T128" s="550" t="str">
        <x:f>IF(A128="","",J128+M128-K128-L128-N128-R128)</x:f>
      </x:c>
      <x:c r="U128" s="545" t="n"/>
      <x:c r="V128" s="545" t="n"/>
    </x:row>
    <x:row r="129">
      <x:c r="A129" s="545" t="n"/>
      <x:c r="B129" s="549" t="n"/>
      <x:c r="C129" s="545" t="n"/>
      <x:c r="D129" s="545" t="n"/>
      <x:c r="E129" s="545" t="n"/>
      <x:c r="F129" s="545" t="n"/>
      <x:c r="G129" s="545" t="n"/>
      <x:c r="H129" s="545" t="n"/>
      <x:c r="I129" s="550" t="n"/>
      <x:c r="J129" s="550" t="str">
        <x:f>IF(A129="","",IFERROR(H129*I129,""))</x:f>
      </x:c>
      <x:c r="K129" s="550" t="n"/>
      <x:c r="L129" s="550" t="n"/>
      <x:c r="M129" s="550" t="n"/>
      <x:c r="N129" s="550" t="n"/>
      <x:c r="O129" s="545" t="n"/>
      <x:c r="P129" s="545" t="n"/>
      <x:c r="Q129" s="550" t="str">
        <x:f>IF(E129="","",IFERROR(VLOOKUP(E129,'2_Tính giá'!$A$12:$M$51,13,FALSE),""))</x:f>
      </x:c>
      <x:c r="R129" s="550" t="str">
        <x:f>IF(OR(A129="",H129="",Q129=""),"",H129*Q129)</x:f>
      </x:c>
      <x:c r="S129" s="550" t="str">
        <x:f>IF(A129="","",J129+M129-K129-L129)</x:f>
      </x:c>
      <x:c r="T129" s="550" t="str">
        <x:f>IF(A129="","",J129+M129-K129-L129-N129-R129)</x:f>
      </x:c>
      <x:c r="U129" s="545" t="n"/>
      <x:c r="V129" s="545" t="n"/>
    </x:row>
    <x:row r="130">
      <x:c r="A130" s="545" t="n"/>
      <x:c r="B130" s="549" t="n"/>
      <x:c r="C130" s="545" t="n"/>
      <x:c r="D130" s="545" t="n"/>
      <x:c r="E130" s="545" t="n"/>
      <x:c r="F130" s="545" t="n"/>
      <x:c r="G130" s="545" t="n"/>
      <x:c r="H130" s="545" t="n"/>
      <x:c r="I130" s="550" t="n"/>
      <x:c r="J130" s="550" t="str">
        <x:f>IF(A130="","",IFERROR(H130*I130,""))</x:f>
      </x:c>
      <x:c r="K130" s="550" t="n"/>
      <x:c r="L130" s="550" t="n"/>
      <x:c r="M130" s="550" t="n"/>
      <x:c r="N130" s="550" t="n"/>
      <x:c r="O130" s="545" t="n"/>
      <x:c r="P130" s="545" t="n"/>
      <x:c r="Q130" s="550" t="str">
        <x:f>IF(E130="","",IFERROR(VLOOKUP(E130,'2_Tính giá'!$A$12:$M$51,13,FALSE),""))</x:f>
      </x:c>
      <x:c r="R130" s="550" t="str">
        <x:f>IF(OR(A130="",H130="",Q130=""),"",H130*Q130)</x:f>
      </x:c>
      <x:c r="S130" s="550" t="str">
        <x:f>IF(A130="","",J130+M130-K130-L130)</x:f>
      </x:c>
      <x:c r="T130" s="550" t="str">
        <x:f>IF(A130="","",J130+M130-K130-L130-N130-R130)</x:f>
      </x:c>
      <x:c r="U130" s="545" t="n"/>
      <x:c r="V130" s="545" t="n"/>
    </x:row>
    <x:row r="131">
      <x:c r="A131" s="545" t="n"/>
      <x:c r="B131" s="549" t="n"/>
      <x:c r="C131" s="545" t="n"/>
      <x:c r="D131" s="545" t="n"/>
      <x:c r="E131" s="545" t="n"/>
      <x:c r="F131" s="545" t="n"/>
      <x:c r="G131" s="545" t="n"/>
      <x:c r="H131" s="545" t="n"/>
      <x:c r="I131" s="550" t="n"/>
      <x:c r="J131" s="550" t="str">
        <x:f>IF(A131="","",IFERROR(H131*I131,""))</x:f>
      </x:c>
      <x:c r="K131" s="550" t="n"/>
      <x:c r="L131" s="550" t="n"/>
      <x:c r="M131" s="550" t="n"/>
      <x:c r="N131" s="550" t="n"/>
      <x:c r="O131" s="545" t="n"/>
      <x:c r="P131" s="545" t="n"/>
      <x:c r="Q131" s="550" t="str">
        <x:f>IF(E131="","",IFERROR(VLOOKUP(E131,'2_Tính giá'!$A$12:$M$51,13,FALSE),""))</x:f>
      </x:c>
      <x:c r="R131" s="550" t="str">
        <x:f>IF(OR(A131="",H131="",Q131=""),"",H131*Q131)</x:f>
      </x:c>
      <x:c r="S131" s="550" t="str">
        <x:f>IF(A131="","",J131+M131-K131-L131)</x:f>
      </x:c>
      <x:c r="T131" s="550" t="str">
        <x:f>IF(A131="","",J131+M131-K131-L131-N131-R131)</x:f>
      </x:c>
      <x:c r="U131" s="545" t="n"/>
      <x:c r="V131" s="545" t="n"/>
    </x:row>
    <x:row r="132">
      <x:c r="A132" s="545" t="n"/>
      <x:c r="B132" s="549" t="n"/>
      <x:c r="C132" s="545" t="n"/>
      <x:c r="D132" s="545" t="n"/>
      <x:c r="E132" s="545" t="n"/>
      <x:c r="F132" s="545" t="n"/>
      <x:c r="G132" s="545" t="n"/>
      <x:c r="H132" s="545" t="n"/>
      <x:c r="I132" s="550" t="n"/>
      <x:c r="J132" s="550" t="str">
        <x:f>IF(A132="","",IFERROR(H132*I132,""))</x:f>
      </x:c>
      <x:c r="K132" s="550" t="n"/>
      <x:c r="L132" s="550" t="n"/>
      <x:c r="M132" s="550" t="n"/>
      <x:c r="N132" s="550" t="n"/>
      <x:c r="O132" s="545" t="n"/>
      <x:c r="P132" s="545" t="n"/>
      <x:c r="Q132" s="550" t="str">
        <x:f>IF(E132="","",IFERROR(VLOOKUP(E132,'2_Tính giá'!$A$12:$M$51,13,FALSE),""))</x:f>
      </x:c>
      <x:c r="R132" s="550" t="str">
        <x:f>IF(OR(A132="",H132="",Q132=""),"",H132*Q132)</x:f>
      </x:c>
      <x:c r="S132" s="550" t="str">
        <x:f>IF(A132="","",J132+M132-K132-L132)</x:f>
      </x:c>
      <x:c r="T132" s="550" t="str">
        <x:f>IF(A132="","",J132+M132-K132-L132-N132-R132)</x:f>
      </x:c>
      <x:c r="U132" s="545" t="n"/>
      <x:c r="V132" s="545" t="n"/>
    </x:row>
    <x:row r="133">
      <x:c r="A133" s="545" t="n"/>
      <x:c r="B133" s="549" t="n"/>
      <x:c r="C133" s="545" t="n"/>
      <x:c r="D133" s="545" t="n"/>
      <x:c r="E133" s="545" t="n"/>
      <x:c r="F133" s="545" t="n"/>
      <x:c r="G133" s="545" t="n"/>
      <x:c r="H133" s="545" t="n"/>
      <x:c r="I133" s="550" t="n"/>
      <x:c r="J133" s="550" t="str">
        <x:f>IF(A133="","",IFERROR(H133*I133,""))</x:f>
      </x:c>
      <x:c r="K133" s="550" t="n"/>
      <x:c r="L133" s="550" t="n"/>
      <x:c r="M133" s="550" t="n"/>
      <x:c r="N133" s="550" t="n"/>
      <x:c r="O133" s="545" t="n"/>
      <x:c r="P133" s="545" t="n"/>
      <x:c r="Q133" s="550" t="str">
        <x:f>IF(E133="","",IFERROR(VLOOKUP(E133,'2_Tính giá'!$A$12:$M$51,13,FALSE),""))</x:f>
      </x:c>
      <x:c r="R133" s="550" t="str">
        <x:f>IF(OR(A133="",H133="",Q133=""),"",H133*Q133)</x:f>
      </x:c>
      <x:c r="S133" s="550" t="str">
        <x:f>IF(A133="","",J133+M133-K133-L133)</x:f>
      </x:c>
      <x:c r="T133" s="550" t="str">
        <x:f>IF(A133="","",J133+M133-K133-L133-N133-R133)</x:f>
      </x:c>
      <x:c r="U133" s="545" t="n"/>
      <x:c r="V133" s="545" t="n"/>
    </x:row>
    <x:row r="134">
      <x:c r="A134" s="545" t="n"/>
      <x:c r="B134" s="549" t="n"/>
      <x:c r="C134" s="545" t="n"/>
      <x:c r="D134" s="545" t="n"/>
      <x:c r="E134" s="545" t="n"/>
      <x:c r="F134" s="545" t="n"/>
      <x:c r="G134" s="545" t="n"/>
      <x:c r="H134" s="545" t="n"/>
      <x:c r="I134" s="550" t="n"/>
      <x:c r="J134" s="550" t="str">
        <x:f>IF(A134="","",IFERROR(H134*I134,""))</x:f>
      </x:c>
      <x:c r="K134" s="550" t="n"/>
      <x:c r="L134" s="550" t="n"/>
      <x:c r="M134" s="550" t="n"/>
      <x:c r="N134" s="550" t="n"/>
      <x:c r="O134" s="545" t="n"/>
      <x:c r="P134" s="545" t="n"/>
      <x:c r="Q134" s="550" t="str">
        <x:f>IF(E134="","",IFERROR(VLOOKUP(E134,'2_Tính giá'!$A$12:$M$51,13,FALSE),""))</x:f>
      </x:c>
      <x:c r="R134" s="550" t="str">
        <x:f>IF(OR(A134="",H134="",Q134=""),"",H134*Q134)</x:f>
      </x:c>
      <x:c r="S134" s="550" t="str">
        <x:f>IF(A134="","",J134+M134-K134-L134)</x:f>
      </x:c>
      <x:c r="T134" s="550" t="str">
        <x:f>IF(A134="","",J134+M134-K134-L134-N134-R134)</x:f>
      </x:c>
      <x:c r="U134" s="545" t="n"/>
      <x:c r="V134" s="545" t="n"/>
    </x:row>
    <x:row r="135">
      <x:c r="A135" s="545" t="n"/>
      <x:c r="B135" s="549" t="n"/>
      <x:c r="C135" s="545" t="n"/>
      <x:c r="D135" s="545" t="n"/>
      <x:c r="E135" s="545" t="n"/>
      <x:c r="F135" s="545" t="n"/>
      <x:c r="G135" s="545" t="n"/>
      <x:c r="H135" s="545" t="n"/>
      <x:c r="I135" s="550" t="n"/>
      <x:c r="J135" s="550" t="str">
        <x:f>IF(A135="","",IFERROR(H135*I135,""))</x:f>
      </x:c>
      <x:c r="K135" s="550" t="n"/>
      <x:c r="L135" s="550" t="n"/>
      <x:c r="M135" s="550" t="n"/>
      <x:c r="N135" s="550" t="n"/>
      <x:c r="O135" s="545" t="n"/>
      <x:c r="P135" s="545" t="n"/>
      <x:c r="Q135" s="550" t="str">
        <x:f>IF(E135="","",IFERROR(VLOOKUP(E135,'2_Tính giá'!$A$12:$M$51,13,FALSE),""))</x:f>
      </x:c>
      <x:c r="R135" s="550" t="str">
        <x:f>IF(OR(A135="",H135="",Q135=""),"",H135*Q135)</x:f>
      </x:c>
      <x:c r="S135" s="550" t="str">
        <x:f>IF(A135="","",J135+M135-K135-L135)</x:f>
      </x:c>
      <x:c r="T135" s="550" t="str">
        <x:f>IF(A135="","",J135+M135-K135-L135-N135-R135)</x:f>
      </x:c>
      <x:c r="U135" s="545" t="n"/>
      <x:c r="V135" s="545" t="n"/>
    </x:row>
    <x:row r="136">
      <x:c r="A136" s="545" t="n"/>
      <x:c r="B136" s="549" t="n"/>
      <x:c r="C136" s="545" t="n"/>
      <x:c r="D136" s="545" t="n"/>
      <x:c r="E136" s="545" t="n"/>
      <x:c r="F136" s="545" t="n"/>
      <x:c r="G136" s="545" t="n"/>
      <x:c r="H136" s="545" t="n"/>
      <x:c r="I136" s="550" t="n"/>
      <x:c r="J136" s="550" t="str">
        <x:f>IF(A136="","",IFERROR(H136*I136,""))</x:f>
      </x:c>
      <x:c r="K136" s="550" t="n"/>
      <x:c r="L136" s="550" t="n"/>
      <x:c r="M136" s="550" t="n"/>
      <x:c r="N136" s="550" t="n"/>
      <x:c r="O136" s="545" t="n"/>
      <x:c r="P136" s="545" t="n"/>
      <x:c r="Q136" s="550" t="str">
        <x:f>IF(E136="","",IFERROR(VLOOKUP(E136,'2_Tính giá'!$A$12:$M$51,13,FALSE),""))</x:f>
      </x:c>
      <x:c r="R136" s="550" t="str">
        <x:f>IF(OR(A136="",H136="",Q136=""),"",H136*Q136)</x:f>
      </x:c>
      <x:c r="S136" s="550" t="str">
        <x:f>IF(A136="","",J136+M136-K136-L136)</x:f>
      </x:c>
      <x:c r="T136" s="550" t="str">
        <x:f>IF(A136="","",J136+M136-K136-L136-N136-R136)</x:f>
      </x:c>
      <x:c r="U136" s="545" t="n"/>
      <x:c r="V136" s="545" t="n"/>
    </x:row>
    <x:row r="137">
      <x:c r="A137" s="545" t="n"/>
      <x:c r="B137" s="549" t="n"/>
      <x:c r="C137" s="545" t="n"/>
      <x:c r="D137" s="545" t="n"/>
      <x:c r="E137" s="545" t="n"/>
      <x:c r="F137" s="545" t="n"/>
      <x:c r="G137" s="545" t="n"/>
      <x:c r="H137" s="545" t="n"/>
      <x:c r="I137" s="550" t="n"/>
      <x:c r="J137" s="550" t="str">
        <x:f>IF(A137="","",IFERROR(H137*I137,""))</x:f>
      </x:c>
      <x:c r="K137" s="550" t="n"/>
      <x:c r="L137" s="550" t="n"/>
      <x:c r="M137" s="550" t="n"/>
      <x:c r="N137" s="550" t="n"/>
      <x:c r="O137" s="545" t="n"/>
      <x:c r="P137" s="545" t="n"/>
      <x:c r="Q137" s="550" t="str">
        <x:f>IF(E137="","",IFERROR(VLOOKUP(E137,'2_Tính giá'!$A$12:$M$51,13,FALSE),""))</x:f>
      </x:c>
      <x:c r="R137" s="550" t="str">
        <x:f>IF(OR(A137="",H137="",Q137=""),"",H137*Q137)</x:f>
      </x:c>
      <x:c r="S137" s="550" t="str">
        <x:f>IF(A137="","",J137+M137-K137-L137)</x:f>
      </x:c>
      <x:c r="T137" s="550" t="str">
        <x:f>IF(A137="","",J137+M137-K137-L137-N137-R137)</x:f>
      </x:c>
      <x:c r="U137" s="545" t="n"/>
      <x:c r="V137" s="545" t="n"/>
    </x:row>
    <x:row r="138">
      <x:c r="A138" s="545" t="n"/>
      <x:c r="B138" s="549" t="n"/>
      <x:c r="C138" s="545" t="n"/>
      <x:c r="D138" s="545" t="n"/>
      <x:c r="E138" s="545" t="n"/>
      <x:c r="F138" s="545" t="n"/>
      <x:c r="G138" s="545" t="n"/>
      <x:c r="H138" s="545" t="n"/>
      <x:c r="I138" s="550" t="n"/>
      <x:c r="J138" s="550" t="str">
        <x:f>IF(A138="","",IFERROR(H138*I138,""))</x:f>
      </x:c>
      <x:c r="K138" s="550" t="n"/>
      <x:c r="L138" s="550" t="n"/>
      <x:c r="M138" s="550" t="n"/>
      <x:c r="N138" s="550" t="n"/>
      <x:c r="O138" s="545" t="n"/>
      <x:c r="P138" s="545" t="n"/>
      <x:c r="Q138" s="550" t="str">
        <x:f>IF(E138="","",IFERROR(VLOOKUP(E138,'2_Tính giá'!$A$12:$M$51,13,FALSE),""))</x:f>
      </x:c>
      <x:c r="R138" s="550" t="str">
        <x:f>IF(OR(A138="",H138="",Q138=""),"",H138*Q138)</x:f>
      </x:c>
      <x:c r="S138" s="550" t="str">
        <x:f>IF(A138="","",J138+M138-K138-L138)</x:f>
      </x:c>
      <x:c r="T138" s="550" t="str">
        <x:f>IF(A138="","",J138+M138-K138-L138-N138-R138)</x:f>
      </x:c>
      <x:c r="U138" s="545" t="n"/>
      <x:c r="V138" s="545" t="n"/>
    </x:row>
    <x:row r="139">
      <x:c r="A139" s="545" t="n"/>
      <x:c r="B139" s="549" t="n"/>
      <x:c r="C139" s="545" t="n"/>
      <x:c r="D139" s="545" t="n"/>
      <x:c r="E139" s="545" t="n"/>
      <x:c r="F139" s="545" t="n"/>
      <x:c r="G139" s="545" t="n"/>
      <x:c r="H139" s="545" t="n"/>
      <x:c r="I139" s="550" t="n"/>
      <x:c r="J139" s="550" t="str">
        <x:f>IF(A139="","",IFERROR(H139*I139,""))</x:f>
      </x:c>
      <x:c r="K139" s="550" t="n"/>
      <x:c r="L139" s="550" t="n"/>
      <x:c r="M139" s="550" t="n"/>
      <x:c r="N139" s="550" t="n"/>
      <x:c r="O139" s="545" t="n"/>
      <x:c r="P139" s="545" t="n"/>
      <x:c r="Q139" s="550" t="str">
        <x:f>IF(E139="","",IFERROR(VLOOKUP(E139,'2_Tính giá'!$A$12:$M$51,13,FALSE),""))</x:f>
      </x:c>
      <x:c r="R139" s="550" t="str">
        <x:f>IF(OR(A139="",H139="",Q139=""),"",H139*Q139)</x:f>
      </x:c>
      <x:c r="S139" s="550" t="str">
        <x:f>IF(A139="","",J139+M139-K139-L139)</x:f>
      </x:c>
      <x:c r="T139" s="550" t="str">
        <x:f>IF(A139="","",J139+M139-K139-L139-N139-R139)</x:f>
      </x:c>
      <x:c r="U139" s="545" t="n"/>
      <x:c r="V139" s="545" t="n"/>
    </x:row>
    <x:row r="140">
      <x:c r="A140" s="545" t="n"/>
      <x:c r="B140" s="549" t="n"/>
      <x:c r="C140" s="545" t="n"/>
      <x:c r="D140" s="545" t="n"/>
      <x:c r="E140" s="545" t="n"/>
      <x:c r="F140" s="545" t="n"/>
      <x:c r="G140" s="545" t="n"/>
      <x:c r="H140" s="545" t="n"/>
      <x:c r="I140" s="550" t="n"/>
      <x:c r="J140" s="550" t="str">
        <x:f>IF(A140="","",IFERROR(H140*I140,""))</x:f>
      </x:c>
      <x:c r="K140" s="550" t="n"/>
      <x:c r="L140" s="550" t="n"/>
      <x:c r="M140" s="550" t="n"/>
      <x:c r="N140" s="550" t="n"/>
      <x:c r="O140" s="545" t="n"/>
      <x:c r="P140" s="545" t="n"/>
      <x:c r="Q140" s="550" t="str">
        <x:f>IF(E140="","",IFERROR(VLOOKUP(E140,'2_Tính giá'!$A$12:$M$51,13,FALSE),""))</x:f>
      </x:c>
      <x:c r="R140" s="550" t="str">
        <x:f>IF(OR(A140="",H140="",Q140=""),"",H140*Q140)</x:f>
      </x:c>
      <x:c r="S140" s="550" t="str">
        <x:f>IF(A140="","",J140+M140-K140-L140)</x:f>
      </x:c>
      <x:c r="T140" s="550" t="str">
        <x:f>IF(A140="","",J140+M140-K140-L140-N140-R140)</x:f>
      </x:c>
      <x:c r="U140" s="545" t="n"/>
      <x:c r="V140" s="545" t="n"/>
    </x:row>
    <x:row r="141">
      <x:c r="A141" s="545" t="n"/>
      <x:c r="B141" s="549" t="n"/>
      <x:c r="C141" s="545" t="n"/>
      <x:c r="D141" s="545" t="n"/>
      <x:c r="E141" s="545" t="n"/>
      <x:c r="F141" s="545" t="n"/>
      <x:c r="G141" s="545" t="n"/>
      <x:c r="H141" s="545" t="n"/>
      <x:c r="I141" s="550" t="n"/>
      <x:c r="J141" s="550" t="str">
        <x:f>IF(A141="","",IFERROR(H141*I141,""))</x:f>
      </x:c>
      <x:c r="K141" s="550" t="n"/>
      <x:c r="L141" s="550" t="n"/>
      <x:c r="M141" s="550" t="n"/>
      <x:c r="N141" s="550" t="n"/>
      <x:c r="O141" s="545" t="n"/>
      <x:c r="P141" s="545" t="n"/>
      <x:c r="Q141" s="550" t="str">
        <x:f>IF(E141="","",IFERROR(VLOOKUP(E141,'2_Tính giá'!$A$12:$M$51,13,FALSE),""))</x:f>
      </x:c>
      <x:c r="R141" s="550" t="str">
        <x:f>IF(OR(A141="",H141="",Q141=""),"",H141*Q141)</x:f>
      </x:c>
      <x:c r="S141" s="550" t="str">
        <x:f>IF(A141="","",J141+M141-K141-L141)</x:f>
      </x:c>
      <x:c r="T141" s="550" t="str">
        <x:f>IF(A141="","",J141+M141-K141-L141-N141-R141)</x:f>
      </x:c>
      <x:c r="U141" s="545" t="n"/>
      <x:c r="V141" s="545" t="n"/>
    </x:row>
    <x:row r="142">
      <x:c r="A142" s="545" t="n"/>
      <x:c r="B142" s="549" t="n"/>
      <x:c r="C142" s="545" t="n"/>
      <x:c r="D142" s="545" t="n"/>
      <x:c r="E142" s="545" t="n"/>
      <x:c r="F142" s="545" t="n"/>
      <x:c r="G142" s="545" t="n"/>
      <x:c r="H142" s="545" t="n"/>
      <x:c r="I142" s="550" t="n"/>
      <x:c r="J142" s="550" t="str">
        <x:f>IF(A142="","",IFERROR(H142*I142,""))</x:f>
      </x:c>
      <x:c r="K142" s="550" t="n"/>
      <x:c r="L142" s="550" t="n"/>
      <x:c r="M142" s="550" t="n"/>
      <x:c r="N142" s="550" t="n"/>
      <x:c r="O142" s="545" t="n"/>
      <x:c r="P142" s="545" t="n"/>
      <x:c r="Q142" s="550" t="str">
        <x:f>IF(E142="","",IFERROR(VLOOKUP(E142,'2_Tính giá'!$A$12:$M$51,13,FALSE),""))</x:f>
      </x:c>
      <x:c r="R142" s="550" t="str">
        <x:f>IF(OR(A142="",H142="",Q142=""),"",H142*Q142)</x:f>
      </x:c>
      <x:c r="S142" s="550" t="str">
        <x:f>IF(A142="","",J142+M142-K142-L142)</x:f>
      </x:c>
      <x:c r="T142" s="550" t="str">
        <x:f>IF(A142="","",J142+M142-K142-L142-N142-R142)</x:f>
      </x:c>
      <x:c r="U142" s="545" t="n"/>
      <x:c r="V142" s="545" t="n"/>
    </x:row>
    <x:row r="143">
      <x:c r="A143" s="545" t="n"/>
      <x:c r="B143" s="549" t="n"/>
      <x:c r="C143" s="545" t="n"/>
      <x:c r="D143" s="545" t="n"/>
      <x:c r="E143" s="545" t="n"/>
      <x:c r="F143" s="545" t="n"/>
      <x:c r="G143" s="545" t="n"/>
      <x:c r="H143" s="545" t="n"/>
      <x:c r="I143" s="550" t="n"/>
      <x:c r="J143" s="550" t="str">
        <x:f>IF(A143="","",IFERROR(H143*I143,""))</x:f>
      </x:c>
      <x:c r="K143" s="550" t="n"/>
      <x:c r="L143" s="550" t="n"/>
      <x:c r="M143" s="550" t="n"/>
      <x:c r="N143" s="550" t="n"/>
      <x:c r="O143" s="545" t="n"/>
      <x:c r="P143" s="545" t="n"/>
      <x:c r="Q143" s="550" t="str">
        <x:f>IF(E143="","",IFERROR(VLOOKUP(E143,'2_Tính giá'!$A$12:$M$51,13,FALSE),""))</x:f>
      </x:c>
      <x:c r="R143" s="550" t="str">
        <x:f>IF(OR(A143="",H143="",Q143=""),"",H143*Q143)</x:f>
      </x:c>
      <x:c r="S143" s="550" t="str">
        <x:f>IF(A143="","",J143+M143-K143-L143)</x:f>
      </x:c>
      <x:c r="T143" s="550" t="str">
        <x:f>IF(A143="","",J143+M143-K143-L143-N143-R143)</x:f>
      </x:c>
      <x:c r="U143" s="545" t="n"/>
      <x:c r="V143" s="545" t="n"/>
    </x:row>
    <x:row r="144">
      <x:c r="A144" s="545" t="n"/>
      <x:c r="B144" s="549" t="n"/>
      <x:c r="C144" s="545" t="n"/>
      <x:c r="D144" s="545" t="n"/>
      <x:c r="E144" s="545" t="n"/>
      <x:c r="F144" s="545" t="n"/>
      <x:c r="G144" s="545" t="n"/>
      <x:c r="H144" s="545" t="n"/>
      <x:c r="I144" s="550" t="n"/>
      <x:c r="J144" s="550" t="str">
        <x:f>IF(A144="","",IFERROR(H144*I144,""))</x:f>
      </x:c>
      <x:c r="K144" s="550" t="n"/>
      <x:c r="L144" s="550" t="n"/>
      <x:c r="M144" s="550" t="n"/>
      <x:c r="N144" s="550" t="n"/>
      <x:c r="O144" s="545" t="n"/>
      <x:c r="P144" s="545" t="n"/>
      <x:c r="Q144" s="550" t="str">
        <x:f>IF(E144="","",IFERROR(VLOOKUP(E144,'2_Tính giá'!$A$12:$M$51,13,FALSE),""))</x:f>
      </x:c>
      <x:c r="R144" s="550" t="str">
        <x:f>IF(OR(A144="",H144="",Q144=""),"",H144*Q144)</x:f>
      </x:c>
      <x:c r="S144" s="550" t="str">
        <x:f>IF(A144="","",J144+M144-K144-L144)</x:f>
      </x:c>
      <x:c r="T144" s="550" t="str">
        <x:f>IF(A144="","",J144+M144-K144-L144-N144-R144)</x:f>
      </x:c>
      <x:c r="U144" s="545" t="n"/>
      <x:c r="V144" s="545" t="n"/>
    </x:row>
    <x:row r="145">
      <x:c r="A145" s="545" t="n"/>
      <x:c r="B145" s="549" t="n"/>
      <x:c r="C145" s="545" t="n"/>
      <x:c r="D145" s="545" t="n"/>
      <x:c r="E145" s="545" t="n"/>
      <x:c r="F145" s="545" t="n"/>
      <x:c r="G145" s="545" t="n"/>
      <x:c r="H145" s="545" t="n"/>
      <x:c r="I145" s="550" t="n"/>
      <x:c r="J145" s="550" t="str">
        <x:f>IF(A145="","",IFERROR(H145*I145,""))</x:f>
      </x:c>
      <x:c r="K145" s="550" t="n"/>
      <x:c r="L145" s="550" t="n"/>
      <x:c r="M145" s="550" t="n"/>
      <x:c r="N145" s="550" t="n"/>
      <x:c r="O145" s="545" t="n"/>
      <x:c r="P145" s="545" t="n"/>
      <x:c r="Q145" s="550" t="str">
        <x:f>IF(E145="","",IFERROR(VLOOKUP(E145,'2_Tính giá'!$A$12:$M$51,13,FALSE),""))</x:f>
      </x:c>
      <x:c r="R145" s="550" t="str">
        <x:f>IF(OR(A145="",H145="",Q145=""),"",H145*Q145)</x:f>
      </x:c>
      <x:c r="S145" s="550" t="str">
        <x:f>IF(A145="","",J145+M145-K145-L145)</x:f>
      </x:c>
      <x:c r="T145" s="550" t="str">
        <x:f>IF(A145="","",J145+M145-K145-L145-N145-R145)</x:f>
      </x:c>
      <x:c r="U145" s="545" t="n"/>
      <x:c r="V145" s="545" t="n"/>
    </x:row>
    <x:row r="146">
      <x:c r="A146" s="545" t="n"/>
      <x:c r="B146" s="549" t="n"/>
      <x:c r="C146" s="545" t="n"/>
      <x:c r="D146" s="545" t="n"/>
      <x:c r="E146" s="545" t="n"/>
      <x:c r="F146" s="545" t="n"/>
      <x:c r="G146" s="545" t="n"/>
      <x:c r="H146" s="545" t="n"/>
      <x:c r="I146" s="550" t="n"/>
      <x:c r="J146" s="550" t="str">
        <x:f>IF(A146="","",IFERROR(H146*I146,""))</x:f>
      </x:c>
      <x:c r="K146" s="550" t="n"/>
      <x:c r="L146" s="550" t="n"/>
      <x:c r="M146" s="550" t="n"/>
      <x:c r="N146" s="550" t="n"/>
      <x:c r="O146" s="545" t="n"/>
      <x:c r="P146" s="545" t="n"/>
      <x:c r="Q146" s="550" t="str">
        <x:f>IF(E146="","",IFERROR(VLOOKUP(E146,'2_Tính giá'!$A$12:$M$51,13,FALSE),""))</x:f>
      </x:c>
      <x:c r="R146" s="550" t="str">
        <x:f>IF(OR(A146="",H146="",Q146=""),"",H146*Q146)</x:f>
      </x:c>
      <x:c r="S146" s="550" t="str">
        <x:f>IF(A146="","",J146+M146-K146-L146)</x:f>
      </x:c>
      <x:c r="T146" s="550" t="str">
        <x:f>IF(A146="","",J146+M146-K146-L146-N146-R146)</x:f>
      </x:c>
      <x:c r="U146" s="545" t="n"/>
      <x:c r="V146" s="545" t="n"/>
    </x:row>
    <x:row r="147">
      <x:c r="A147" s="545" t="n"/>
      <x:c r="B147" s="549" t="n"/>
      <x:c r="C147" s="545" t="n"/>
      <x:c r="D147" s="545" t="n"/>
      <x:c r="E147" s="545" t="n"/>
      <x:c r="F147" s="545" t="n"/>
      <x:c r="G147" s="545" t="n"/>
      <x:c r="H147" s="545" t="n"/>
      <x:c r="I147" s="550" t="n"/>
      <x:c r="J147" s="550" t="str">
        <x:f>IF(A147="","",IFERROR(H147*I147,""))</x:f>
      </x:c>
      <x:c r="K147" s="550" t="n"/>
      <x:c r="L147" s="550" t="n"/>
      <x:c r="M147" s="550" t="n"/>
      <x:c r="N147" s="550" t="n"/>
      <x:c r="O147" s="545" t="n"/>
      <x:c r="P147" s="545" t="n"/>
      <x:c r="Q147" s="550" t="str">
        <x:f>IF(E147="","",IFERROR(VLOOKUP(E147,'2_Tính giá'!$A$12:$M$51,13,FALSE),""))</x:f>
      </x:c>
      <x:c r="R147" s="550" t="str">
        <x:f>IF(OR(A147="",H147="",Q147=""),"",H147*Q147)</x:f>
      </x:c>
      <x:c r="S147" s="550" t="str">
        <x:f>IF(A147="","",J147+M147-K147-L147)</x:f>
      </x:c>
      <x:c r="T147" s="550" t="str">
        <x:f>IF(A147="","",J147+M147-K147-L147-N147-R147)</x:f>
      </x:c>
      <x:c r="U147" s="545" t="n"/>
      <x:c r="V147" s="545" t="n"/>
    </x:row>
    <x:row r="148">
      <x:c r="A148" s="545" t="n"/>
      <x:c r="B148" s="549" t="n"/>
      <x:c r="C148" s="545" t="n"/>
      <x:c r="D148" s="545" t="n"/>
      <x:c r="E148" s="545" t="n"/>
      <x:c r="F148" s="545" t="n"/>
      <x:c r="G148" s="545" t="n"/>
      <x:c r="H148" s="545" t="n"/>
      <x:c r="I148" s="550" t="n"/>
      <x:c r="J148" s="550" t="str">
        <x:f>IF(A148="","",IFERROR(H148*I148,""))</x:f>
      </x:c>
      <x:c r="K148" s="550" t="n"/>
      <x:c r="L148" s="550" t="n"/>
      <x:c r="M148" s="550" t="n"/>
      <x:c r="N148" s="550" t="n"/>
      <x:c r="O148" s="545" t="n"/>
      <x:c r="P148" s="545" t="n"/>
      <x:c r="Q148" s="550" t="str">
        <x:f>IF(E148="","",IFERROR(VLOOKUP(E148,'2_Tính giá'!$A$12:$M$51,13,FALSE),""))</x:f>
      </x:c>
      <x:c r="R148" s="550" t="str">
        <x:f>IF(OR(A148="",H148="",Q148=""),"",H148*Q148)</x:f>
      </x:c>
      <x:c r="S148" s="550" t="str">
        <x:f>IF(A148="","",J148+M148-K148-L148)</x:f>
      </x:c>
      <x:c r="T148" s="550" t="str">
        <x:f>IF(A148="","",J148+M148-K148-L148-N148-R148)</x:f>
      </x:c>
      <x:c r="U148" s="545" t="n"/>
      <x:c r="V148" s="545" t="n"/>
    </x:row>
    <x:row r="149">
      <x:c r="A149" s="545" t="n"/>
      <x:c r="B149" s="549" t="n"/>
      <x:c r="C149" s="545" t="n"/>
      <x:c r="D149" s="545" t="n"/>
      <x:c r="E149" s="545" t="n"/>
      <x:c r="F149" s="545" t="n"/>
      <x:c r="G149" s="545" t="n"/>
      <x:c r="H149" s="545" t="n"/>
      <x:c r="I149" s="550" t="n"/>
      <x:c r="J149" s="550" t="str">
        <x:f>IF(A149="","",IFERROR(H149*I149,""))</x:f>
      </x:c>
      <x:c r="K149" s="550" t="n"/>
      <x:c r="L149" s="550" t="n"/>
      <x:c r="M149" s="550" t="n"/>
      <x:c r="N149" s="550" t="n"/>
      <x:c r="O149" s="545" t="n"/>
      <x:c r="P149" s="545" t="n"/>
      <x:c r="Q149" s="550" t="str">
        <x:f>IF(E149="","",IFERROR(VLOOKUP(E149,'2_Tính giá'!$A$12:$M$51,13,FALSE),""))</x:f>
      </x:c>
      <x:c r="R149" s="550" t="str">
        <x:f>IF(OR(A149="",H149="",Q149=""),"",H149*Q149)</x:f>
      </x:c>
      <x:c r="S149" s="550" t="str">
        <x:f>IF(A149="","",J149+M149-K149-L149)</x:f>
      </x:c>
      <x:c r="T149" s="550" t="str">
        <x:f>IF(A149="","",J149+M149-K149-L149-N149-R149)</x:f>
      </x:c>
      <x:c r="U149" s="545" t="n"/>
      <x:c r="V149" s="545" t="n"/>
    </x:row>
    <x:row r="150">
      <x:c r="A150" s="545" t="n"/>
      <x:c r="B150" s="549" t="n"/>
      <x:c r="C150" s="545" t="n"/>
      <x:c r="D150" s="545" t="n"/>
      <x:c r="E150" s="545" t="n"/>
      <x:c r="F150" s="545" t="n"/>
      <x:c r="G150" s="545" t="n"/>
      <x:c r="H150" s="545" t="n"/>
      <x:c r="I150" s="550" t="n"/>
      <x:c r="J150" s="550" t="str">
        <x:f>IF(A150="","",IFERROR(H150*I150,""))</x:f>
      </x:c>
      <x:c r="K150" s="550" t="n"/>
      <x:c r="L150" s="550" t="n"/>
      <x:c r="M150" s="550" t="n"/>
      <x:c r="N150" s="550" t="n"/>
      <x:c r="O150" s="545" t="n"/>
      <x:c r="P150" s="545" t="n"/>
      <x:c r="Q150" s="550" t="str">
        <x:f>IF(E150="","",IFERROR(VLOOKUP(E150,'2_Tính giá'!$A$12:$M$51,13,FALSE),""))</x:f>
      </x:c>
      <x:c r="R150" s="550" t="str">
        <x:f>IF(OR(A150="",H150="",Q150=""),"",H150*Q150)</x:f>
      </x:c>
      <x:c r="S150" s="550" t="str">
        <x:f>IF(A150="","",J150+M150-K150-L150)</x:f>
      </x:c>
      <x:c r="T150" s="550" t="str">
        <x:f>IF(A150="","",J150+M150-K150-L150-N150-R150)</x:f>
      </x:c>
      <x:c r="U150" s="545" t="n"/>
      <x:c r="V150" s="545" t="n"/>
    </x:row>
    <x:row r="151">
      <x:c r="A151" s="545" t="n"/>
      <x:c r="B151" s="549" t="n"/>
      <x:c r="C151" s="545" t="n"/>
      <x:c r="D151" s="545" t="n"/>
      <x:c r="E151" s="545" t="n"/>
      <x:c r="F151" s="545" t="n"/>
      <x:c r="G151" s="545" t="n"/>
      <x:c r="H151" s="545" t="n"/>
      <x:c r="I151" s="550" t="n"/>
      <x:c r="J151" s="550" t="str">
        <x:f>IF(A151="","",IFERROR(H151*I151,""))</x:f>
      </x:c>
      <x:c r="K151" s="550" t="n"/>
      <x:c r="L151" s="550" t="n"/>
      <x:c r="M151" s="550" t="n"/>
      <x:c r="N151" s="550" t="n"/>
      <x:c r="O151" s="545" t="n"/>
      <x:c r="P151" s="545" t="n"/>
      <x:c r="Q151" s="550" t="str">
        <x:f>IF(E151="","",IFERROR(VLOOKUP(E151,'2_Tính giá'!$A$12:$M$51,13,FALSE),""))</x:f>
      </x:c>
      <x:c r="R151" s="550" t="str">
        <x:f>IF(OR(A151="",H151="",Q151=""),"",H151*Q151)</x:f>
      </x:c>
      <x:c r="S151" s="550" t="str">
        <x:f>IF(A151="","",J151+M151-K151-L151)</x:f>
      </x:c>
      <x:c r="T151" s="550" t="str">
        <x:f>IF(A151="","",J151+M151-K151-L151-N151-R151)</x:f>
      </x:c>
      <x:c r="U151" s="545" t="n"/>
      <x:c r="V151" s="545" t="n"/>
    </x:row>
    <x:row r="152">
      <x:c r="A152" s="545" t="n"/>
      <x:c r="B152" s="549" t="n"/>
      <x:c r="C152" s="545" t="n"/>
      <x:c r="D152" s="545" t="n"/>
      <x:c r="E152" s="545" t="n"/>
      <x:c r="F152" s="545" t="n"/>
      <x:c r="G152" s="545" t="n"/>
      <x:c r="H152" s="545" t="n"/>
      <x:c r="I152" s="550" t="n"/>
      <x:c r="J152" s="550" t="str">
        <x:f>IF(A152="","",IFERROR(H152*I152,""))</x:f>
      </x:c>
      <x:c r="K152" s="550" t="n"/>
      <x:c r="L152" s="550" t="n"/>
      <x:c r="M152" s="550" t="n"/>
      <x:c r="N152" s="550" t="n"/>
      <x:c r="O152" s="545" t="n"/>
      <x:c r="P152" s="545" t="n"/>
      <x:c r="Q152" s="550" t="str">
        <x:f>IF(E152="","",IFERROR(VLOOKUP(E152,'2_Tính giá'!$A$12:$M$51,13,FALSE),""))</x:f>
      </x:c>
      <x:c r="R152" s="550" t="str">
        <x:f>IF(OR(A152="",H152="",Q152=""),"",H152*Q152)</x:f>
      </x:c>
      <x:c r="S152" s="550" t="str">
        <x:f>IF(A152="","",J152+M152-K152-L152)</x:f>
      </x:c>
      <x:c r="T152" s="550" t="str">
        <x:f>IF(A152="","",J152+M152-K152-L152-N152-R152)</x:f>
      </x:c>
      <x:c r="U152" s="545" t="n"/>
      <x:c r="V152" s="545" t="n"/>
    </x:row>
    <x:row r="153">
      <x:c r="A153" s="545" t="n"/>
      <x:c r="B153" s="549" t="n"/>
      <x:c r="C153" s="545" t="n"/>
      <x:c r="D153" s="545" t="n"/>
      <x:c r="E153" s="545" t="n"/>
      <x:c r="F153" s="545" t="n"/>
      <x:c r="G153" s="545" t="n"/>
      <x:c r="H153" s="545" t="n"/>
      <x:c r="I153" s="550" t="n"/>
      <x:c r="J153" s="550" t="str">
        <x:f>IF(A153="","",IFERROR(H153*I153,""))</x:f>
      </x:c>
      <x:c r="K153" s="550" t="n"/>
      <x:c r="L153" s="550" t="n"/>
      <x:c r="M153" s="550" t="n"/>
      <x:c r="N153" s="550" t="n"/>
      <x:c r="O153" s="545" t="n"/>
      <x:c r="P153" s="545" t="n"/>
      <x:c r="Q153" s="550" t="str">
        <x:f>IF(E153="","",IFERROR(VLOOKUP(E153,'2_Tính giá'!$A$12:$M$51,13,FALSE),""))</x:f>
      </x:c>
      <x:c r="R153" s="550" t="str">
        <x:f>IF(OR(A153="",H153="",Q153=""),"",H153*Q153)</x:f>
      </x:c>
      <x:c r="S153" s="550" t="str">
        <x:f>IF(A153="","",J153+M153-K153-L153)</x:f>
      </x:c>
      <x:c r="T153" s="550" t="str">
        <x:f>IF(A153="","",J153+M153-K153-L153-N153-R153)</x:f>
      </x:c>
      <x:c r="U153" s="545" t="n"/>
      <x:c r="V153" s="545" t="n"/>
    </x:row>
    <x:row r="154">
      <x:c r="A154" s="545" t="n"/>
      <x:c r="B154" s="549" t="n"/>
      <x:c r="C154" s="545" t="n"/>
      <x:c r="D154" s="545" t="n"/>
      <x:c r="E154" s="545" t="n"/>
      <x:c r="F154" s="545" t="n"/>
      <x:c r="G154" s="545" t="n"/>
      <x:c r="H154" s="545" t="n"/>
      <x:c r="I154" s="550" t="n"/>
      <x:c r="J154" s="550" t="str">
        <x:f>IF(A154="","",IFERROR(H154*I154,""))</x:f>
      </x:c>
      <x:c r="K154" s="550" t="n"/>
      <x:c r="L154" s="550" t="n"/>
      <x:c r="M154" s="550" t="n"/>
      <x:c r="N154" s="550" t="n"/>
      <x:c r="O154" s="545" t="n"/>
      <x:c r="P154" s="545" t="n"/>
      <x:c r="Q154" s="550" t="str">
        <x:f>IF(E154="","",IFERROR(VLOOKUP(E154,'2_Tính giá'!$A$12:$M$51,13,FALSE),""))</x:f>
      </x:c>
      <x:c r="R154" s="550" t="str">
        <x:f>IF(OR(A154="",H154="",Q154=""),"",H154*Q154)</x:f>
      </x:c>
      <x:c r="S154" s="550" t="str">
        <x:f>IF(A154="","",J154+M154-K154-L154)</x:f>
      </x:c>
      <x:c r="T154" s="550" t="str">
        <x:f>IF(A154="","",J154+M154-K154-L154-N154-R154)</x:f>
      </x:c>
      <x:c r="U154" s="545" t="n"/>
      <x:c r="V154" s="545" t="n"/>
    </x:row>
    <x:row r="155">
      <x:c r="A155" s="545" t="n"/>
      <x:c r="B155" s="549" t="n"/>
      <x:c r="C155" s="545" t="n"/>
      <x:c r="D155" s="545" t="n"/>
      <x:c r="E155" s="545" t="n"/>
      <x:c r="F155" s="545" t="n"/>
      <x:c r="G155" s="545" t="n"/>
      <x:c r="H155" s="545" t="n"/>
      <x:c r="I155" s="550" t="n"/>
      <x:c r="J155" s="550" t="str">
        <x:f>IF(A155="","",IFERROR(H155*I155,""))</x:f>
      </x:c>
      <x:c r="K155" s="550" t="n"/>
      <x:c r="L155" s="550" t="n"/>
      <x:c r="M155" s="550" t="n"/>
      <x:c r="N155" s="550" t="n"/>
      <x:c r="O155" s="545" t="n"/>
      <x:c r="P155" s="545" t="n"/>
      <x:c r="Q155" s="550" t="str">
        <x:f>IF(E155="","",IFERROR(VLOOKUP(E155,'2_Tính giá'!$A$12:$M$51,13,FALSE),""))</x:f>
      </x:c>
      <x:c r="R155" s="550" t="str">
        <x:f>IF(OR(A155="",H155="",Q155=""),"",H155*Q155)</x:f>
      </x:c>
      <x:c r="S155" s="550" t="str">
        <x:f>IF(A155="","",J155+M155-K155-L155)</x:f>
      </x:c>
      <x:c r="T155" s="550" t="str">
        <x:f>IF(A155="","",J155+M155-K155-L155-N155-R155)</x:f>
      </x:c>
      <x:c r="U155" s="545" t="n"/>
      <x:c r="V155" s="545" t="n"/>
    </x:row>
    <x:row r="156">
      <x:c r="A156" s="545" t="n"/>
      <x:c r="B156" s="549" t="n"/>
      <x:c r="C156" s="545" t="n"/>
      <x:c r="D156" s="545" t="n"/>
      <x:c r="E156" s="545" t="n"/>
      <x:c r="F156" s="545" t="n"/>
      <x:c r="G156" s="545" t="n"/>
      <x:c r="H156" s="545" t="n"/>
      <x:c r="I156" s="550" t="n"/>
      <x:c r="J156" s="550" t="str">
        <x:f>IF(A156="","",IFERROR(H156*I156,""))</x:f>
      </x:c>
      <x:c r="K156" s="550" t="n"/>
      <x:c r="L156" s="550" t="n"/>
      <x:c r="M156" s="550" t="n"/>
      <x:c r="N156" s="550" t="n"/>
      <x:c r="O156" s="545" t="n"/>
      <x:c r="P156" s="545" t="n"/>
      <x:c r="Q156" s="550" t="str">
        <x:f>IF(E156="","",IFERROR(VLOOKUP(E156,'2_Tính giá'!$A$12:$M$51,13,FALSE),""))</x:f>
      </x:c>
      <x:c r="R156" s="550" t="str">
        <x:f>IF(OR(A156="",H156="",Q156=""),"",H156*Q156)</x:f>
      </x:c>
      <x:c r="S156" s="550" t="str">
        <x:f>IF(A156="","",J156+M156-K156-L156)</x:f>
      </x:c>
      <x:c r="T156" s="550" t="str">
        <x:f>IF(A156="","",J156+M156-K156-L156-N156-R156)</x:f>
      </x:c>
      <x:c r="U156" s="545" t="n"/>
      <x:c r="V156" s="545" t="n"/>
    </x:row>
    <x:row r="157">
      <x:c r="A157" s="545" t="n"/>
      <x:c r="B157" s="549" t="n"/>
      <x:c r="C157" s="545" t="n"/>
      <x:c r="D157" s="545" t="n"/>
      <x:c r="E157" s="545" t="n"/>
      <x:c r="F157" s="545" t="n"/>
      <x:c r="G157" s="545" t="n"/>
      <x:c r="H157" s="545" t="n"/>
      <x:c r="I157" s="550" t="n"/>
      <x:c r="J157" s="550" t="str">
        <x:f>IF(A157="","",IFERROR(H157*I157,""))</x:f>
      </x:c>
      <x:c r="K157" s="550" t="n"/>
      <x:c r="L157" s="550" t="n"/>
      <x:c r="M157" s="550" t="n"/>
      <x:c r="N157" s="550" t="n"/>
      <x:c r="O157" s="545" t="n"/>
      <x:c r="P157" s="545" t="n"/>
      <x:c r="Q157" s="550" t="str">
        <x:f>IF(E157="","",IFERROR(VLOOKUP(E157,'2_Tính giá'!$A$12:$M$51,13,FALSE),""))</x:f>
      </x:c>
      <x:c r="R157" s="550" t="str">
        <x:f>IF(OR(A157="",H157="",Q157=""),"",H157*Q157)</x:f>
      </x:c>
      <x:c r="S157" s="550" t="str">
        <x:f>IF(A157="","",J157+M157-K157-L157)</x:f>
      </x:c>
      <x:c r="T157" s="550" t="str">
        <x:f>IF(A157="","",J157+M157-K157-L157-N157-R157)</x:f>
      </x:c>
      <x:c r="U157" s="545" t="n"/>
      <x:c r="V157" s="545" t="n"/>
    </x:row>
    <x:row r="158">
      <x:c r="A158" s="545" t="n"/>
      <x:c r="B158" s="549" t="n"/>
      <x:c r="C158" s="545" t="n"/>
      <x:c r="D158" s="545" t="n"/>
      <x:c r="E158" s="545" t="n"/>
      <x:c r="F158" s="545" t="n"/>
      <x:c r="G158" s="545" t="n"/>
      <x:c r="H158" s="545" t="n"/>
      <x:c r="I158" s="550" t="n"/>
      <x:c r="J158" s="550" t="str">
        <x:f>IF(A158="","",IFERROR(H158*I158,""))</x:f>
      </x:c>
      <x:c r="K158" s="550" t="n"/>
      <x:c r="L158" s="550" t="n"/>
      <x:c r="M158" s="550" t="n"/>
      <x:c r="N158" s="550" t="n"/>
      <x:c r="O158" s="545" t="n"/>
      <x:c r="P158" s="545" t="n"/>
      <x:c r="Q158" s="550" t="str">
        <x:f>IF(E158="","",IFERROR(VLOOKUP(E158,'2_Tính giá'!$A$12:$M$51,13,FALSE),""))</x:f>
      </x:c>
      <x:c r="R158" s="550" t="str">
        <x:f>IF(OR(A158="",H158="",Q158=""),"",H158*Q158)</x:f>
      </x:c>
      <x:c r="S158" s="550" t="str">
        <x:f>IF(A158="","",J158+M158-K158-L158)</x:f>
      </x:c>
      <x:c r="T158" s="550" t="str">
        <x:f>IF(A158="","",J158+M158-K158-L158-N158-R158)</x:f>
      </x:c>
      <x:c r="U158" s="545" t="n"/>
      <x:c r="V158" s="545" t="n"/>
    </x:row>
    <x:row r="159">
      <x:c r="A159" s="545" t="n"/>
      <x:c r="B159" s="549" t="n"/>
      <x:c r="C159" s="545" t="n"/>
      <x:c r="D159" s="545" t="n"/>
      <x:c r="E159" s="545" t="n"/>
      <x:c r="F159" s="545" t="n"/>
      <x:c r="G159" s="545" t="n"/>
      <x:c r="H159" s="545" t="n"/>
      <x:c r="I159" s="550" t="n"/>
      <x:c r="J159" s="550" t="str">
        <x:f>IF(A159="","",IFERROR(H159*I159,""))</x:f>
      </x:c>
      <x:c r="K159" s="550" t="n"/>
      <x:c r="L159" s="550" t="n"/>
      <x:c r="M159" s="550" t="n"/>
      <x:c r="N159" s="550" t="n"/>
      <x:c r="O159" s="545" t="n"/>
      <x:c r="P159" s="545" t="n"/>
      <x:c r="Q159" s="550" t="str">
        <x:f>IF(E159="","",IFERROR(VLOOKUP(E159,'2_Tính giá'!$A$12:$M$51,13,FALSE),""))</x:f>
      </x:c>
      <x:c r="R159" s="550" t="str">
        <x:f>IF(OR(A159="",H159="",Q159=""),"",H159*Q159)</x:f>
      </x:c>
      <x:c r="S159" s="550" t="str">
        <x:f>IF(A159="","",J159+M159-K159-L159)</x:f>
      </x:c>
      <x:c r="T159" s="550" t="str">
        <x:f>IF(A159="","",J159+M159-K159-L159-N159-R159)</x:f>
      </x:c>
      <x:c r="U159" s="545" t="n"/>
      <x:c r="V159" s="545" t="n"/>
    </x:row>
    <x:row r="160">
      <x:c r="A160" s="545" t="n"/>
      <x:c r="B160" s="549" t="n"/>
      <x:c r="C160" s="545" t="n"/>
      <x:c r="D160" s="545" t="n"/>
      <x:c r="E160" s="545" t="n"/>
      <x:c r="F160" s="545" t="n"/>
      <x:c r="G160" s="545" t="n"/>
      <x:c r="H160" s="545" t="n"/>
      <x:c r="I160" s="550" t="n"/>
      <x:c r="J160" s="550" t="str">
        <x:f>IF(A160="","",IFERROR(H160*I160,""))</x:f>
      </x:c>
      <x:c r="K160" s="550" t="n"/>
      <x:c r="L160" s="550" t="n"/>
      <x:c r="M160" s="550" t="n"/>
      <x:c r="N160" s="550" t="n"/>
      <x:c r="O160" s="545" t="n"/>
      <x:c r="P160" s="545" t="n"/>
      <x:c r="Q160" s="550" t="str">
        <x:f>IF(E160="","",IFERROR(VLOOKUP(E160,'2_Tính giá'!$A$12:$M$51,13,FALSE),""))</x:f>
      </x:c>
      <x:c r="R160" s="550" t="str">
        <x:f>IF(OR(A160="",H160="",Q160=""),"",H160*Q160)</x:f>
      </x:c>
      <x:c r="S160" s="550" t="str">
        <x:f>IF(A160="","",J160+M160-K160-L160)</x:f>
      </x:c>
      <x:c r="T160" s="550" t="str">
        <x:f>IF(A160="","",J160+M160-K160-L160-N160-R160)</x:f>
      </x:c>
      <x:c r="U160" s="545" t="n"/>
      <x:c r="V160" s="545" t="n"/>
    </x:row>
    <x:row r="161">
      <x:c r="A161" s="545" t="n"/>
      <x:c r="B161" s="549" t="n"/>
      <x:c r="C161" s="545" t="n"/>
      <x:c r="D161" s="545" t="n"/>
      <x:c r="E161" s="545" t="n"/>
      <x:c r="F161" s="545" t="n"/>
      <x:c r="G161" s="545" t="n"/>
      <x:c r="H161" s="545" t="n"/>
      <x:c r="I161" s="550" t="n"/>
      <x:c r="J161" s="550" t="str">
        <x:f>IF(A161="","",IFERROR(H161*I161,""))</x:f>
      </x:c>
      <x:c r="K161" s="550" t="n"/>
      <x:c r="L161" s="550" t="n"/>
      <x:c r="M161" s="550" t="n"/>
      <x:c r="N161" s="550" t="n"/>
      <x:c r="O161" s="545" t="n"/>
      <x:c r="P161" s="545" t="n"/>
      <x:c r="Q161" s="550" t="str">
        <x:f>IF(E161="","",IFERROR(VLOOKUP(E161,'2_Tính giá'!$A$12:$M$51,13,FALSE),""))</x:f>
      </x:c>
      <x:c r="R161" s="550" t="str">
        <x:f>IF(OR(A161="",H161="",Q161=""),"",H161*Q161)</x:f>
      </x:c>
      <x:c r="S161" s="550" t="str">
        <x:f>IF(A161="","",J161+M161-K161-L161)</x:f>
      </x:c>
      <x:c r="T161" s="550" t="str">
        <x:f>IF(A161="","",J161+M161-K161-L161-N161-R161)</x:f>
      </x:c>
      <x:c r="U161" s="545" t="n"/>
      <x:c r="V161" s="545" t="n"/>
    </x:row>
    <x:row r="162">
      <x:c r="A162" s="545" t="n"/>
      <x:c r="B162" s="549" t="n"/>
      <x:c r="C162" s="545" t="n"/>
      <x:c r="D162" s="545" t="n"/>
      <x:c r="E162" s="545" t="n"/>
      <x:c r="F162" s="545" t="n"/>
      <x:c r="G162" s="545" t="n"/>
      <x:c r="H162" s="545" t="n"/>
      <x:c r="I162" s="550" t="n"/>
      <x:c r="J162" s="550" t="str">
        <x:f>IF(A162="","",IFERROR(H162*I162,""))</x:f>
      </x:c>
      <x:c r="K162" s="550" t="n"/>
      <x:c r="L162" s="550" t="n"/>
      <x:c r="M162" s="550" t="n"/>
      <x:c r="N162" s="550" t="n"/>
      <x:c r="O162" s="545" t="n"/>
      <x:c r="P162" s="545" t="n"/>
      <x:c r="Q162" s="550" t="str">
        <x:f>IF(E162="","",IFERROR(VLOOKUP(E162,'2_Tính giá'!$A$12:$M$51,13,FALSE),""))</x:f>
      </x:c>
      <x:c r="R162" s="550" t="str">
        <x:f>IF(OR(A162="",H162="",Q162=""),"",H162*Q162)</x:f>
      </x:c>
      <x:c r="S162" s="550" t="str">
        <x:f>IF(A162="","",J162+M162-K162-L162)</x:f>
      </x:c>
      <x:c r="T162" s="550" t="str">
        <x:f>IF(A162="","",J162+M162-K162-L162-N162-R162)</x:f>
      </x:c>
      <x:c r="U162" s="545" t="n"/>
      <x:c r="V162" s="545" t="n"/>
    </x:row>
    <x:row r="163">
      <x:c r="A163" s="545" t="n"/>
      <x:c r="B163" s="549" t="n"/>
      <x:c r="C163" s="545" t="n"/>
      <x:c r="D163" s="545" t="n"/>
      <x:c r="E163" s="545" t="n"/>
      <x:c r="F163" s="545" t="n"/>
      <x:c r="G163" s="545" t="n"/>
      <x:c r="H163" s="545" t="n"/>
      <x:c r="I163" s="550" t="n"/>
      <x:c r="J163" s="550" t="str">
        <x:f>IF(A163="","",IFERROR(H163*I163,""))</x:f>
      </x:c>
      <x:c r="K163" s="550" t="n"/>
      <x:c r="L163" s="550" t="n"/>
      <x:c r="M163" s="550" t="n"/>
      <x:c r="N163" s="550" t="n"/>
      <x:c r="O163" s="545" t="n"/>
      <x:c r="P163" s="545" t="n"/>
      <x:c r="Q163" s="550" t="str">
        <x:f>IF(E163="","",IFERROR(VLOOKUP(E163,'2_Tính giá'!$A$12:$M$51,13,FALSE),""))</x:f>
      </x:c>
      <x:c r="R163" s="550" t="str">
        <x:f>IF(OR(A163="",H163="",Q163=""),"",H163*Q163)</x:f>
      </x:c>
      <x:c r="S163" s="550" t="str">
        <x:f>IF(A163="","",J163+M163-K163-L163)</x:f>
      </x:c>
      <x:c r="T163" s="550" t="str">
        <x:f>IF(A163="","",J163+M163-K163-L163-N163-R163)</x:f>
      </x:c>
      <x:c r="U163" s="545" t="n"/>
      <x:c r="V163" s="545" t="n"/>
    </x:row>
    <x:row r="164">
      <x:c r="A164" s="545" t="n"/>
      <x:c r="B164" s="549" t="n"/>
      <x:c r="C164" s="545" t="n"/>
      <x:c r="D164" s="545" t="n"/>
      <x:c r="E164" s="545" t="n"/>
      <x:c r="F164" s="545" t="n"/>
      <x:c r="G164" s="545" t="n"/>
      <x:c r="H164" s="545" t="n"/>
      <x:c r="I164" s="550" t="n"/>
      <x:c r="J164" s="550" t="str">
        <x:f>IF(A164="","",IFERROR(H164*I164,""))</x:f>
      </x:c>
      <x:c r="K164" s="550" t="n"/>
      <x:c r="L164" s="550" t="n"/>
      <x:c r="M164" s="550" t="n"/>
      <x:c r="N164" s="550" t="n"/>
      <x:c r="O164" s="545" t="n"/>
      <x:c r="P164" s="545" t="n"/>
      <x:c r="Q164" s="550" t="str">
        <x:f>IF(E164="","",IFERROR(VLOOKUP(E164,'2_Tính giá'!$A$12:$M$51,13,FALSE),""))</x:f>
      </x:c>
      <x:c r="R164" s="550" t="str">
        <x:f>IF(OR(A164="",H164="",Q164=""),"",H164*Q164)</x:f>
      </x:c>
      <x:c r="S164" s="550" t="str">
        <x:f>IF(A164="","",J164+M164-K164-L164)</x:f>
      </x:c>
      <x:c r="T164" s="550" t="str">
        <x:f>IF(A164="","",J164+M164-K164-L164-N164-R164)</x:f>
      </x:c>
      <x:c r="U164" s="545" t="n"/>
      <x:c r="V164" s="545" t="n"/>
    </x:row>
    <x:row r="165">
      <x:c r="A165" s="545" t="n"/>
      <x:c r="B165" s="549" t="n"/>
      <x:c r="C165" s="545" t="n"/>
      <x:c r="D165" s="545" t="n"/>
      <x:c r="E165" s="545" t="n"/>
      <x:c r="F165" s="545" t="n"/>
      <x:c r="G165" s="545" t="n"/>
      <x:c r="H165" s="545" t="n"/>
      <x:c r="I165" s="550" t="n"/>
      <x:c r="J165" s="550" t="str">
        <x:f>IF(A165="","",IFERROR(H165*I165,""))</x:f>
      </x:c>
      <x:c r="K165" s="550" t="n"/>
      <x:c r="L165" s="550" t="n"/>
      <x:c r="M165" s="550" t="n"/>
      <x:c r="N165" s="550" t="n"/>
      <x:c r="O165" s="545" t="n"/>
      <x:c r="P165" s="545" t="n"/>
      <x:c r="Q165" s="550" t="str">
        <x:f>IF(E165="","",IFERROR(VLOOKUP(E165,'2_Tính giá'!$A$12:$M$51,13,FALSE),""))</x:f>
      </x:c>
      <x:c r="R165" s="550" t="str">
        <x:f>IF(OR(A165="",H165="",Q165=""),"",H165*Q165)</x:f>
      </x:c>
      <x:c r="S165" s="550" t="str">
        <x:f>IF(A165="","",J165+M165-K165-L165)</x:f>
      </x:c>
      <x:c r="T165" s="550" t="str">
        <x:f>IF(A165="","",J165+M165-K165-L165-N165-R165)</x:f>
      </x:c>
      <x:c r="U165" s="545" t="n"/>
      <x:c r="V165" s="545" t="n"/>
    </x:row>
    <x:row r="166">
      <x:c r="A166" s="545" t="n"/>
      <x:c r="B166" s="549" t="n"/>
      <x:c r="C166" s="545" t="n"/>
      <x:c r="D166" s="545" t="n"/>
      <x:c r="E166" s="545" t="n"/>
      <x:c r="F166" s="545" t="n"/>
      <x:c r="G166" s="545" t="n"/>
      <x:c r="H166" s="545" t="n"/>
      <x:c r="I166" s="550" t="n"/>
      <x:c r="J166" s="550" t="str">
        <x:f>IF(A166="","",IFERROR(H166*I166,""))</x:f>
      </x:c>
      <x:c r="K166" s="550" t="n"/>
      <x:c r="L166" s="550" t="n"/>
      <x:c r="M166" s="550" t="n"/>
      <x:c r="N166" s="550" t="n"/>
      <x:c r="O166" s="545" t="n"/>
      <x:c r="P166" s="545" t="n"/>
      <x:c r="Q166" s="550" t="str">
        <x:f>IF(E166="","",IFERROR(VLOOKUP(E166,'2_Tính giá'!$A$12:$M$51,13,FALSE),""))</x:f>
      </x:c>
      <x:c r="R166" s="550" t="str">
        <x:f>IF(OR(A166="",H166="",Q166=""),"",H166*Q166)</x:f>
      </x:c>
      <x:c r="S166" s="550" t="str">
        <x:f>IF(A166="","",J166+M166-K166-L166)</x:f>
      </x:c>
      <x:c r="T166" s="550" t="str">
        <x:f>IF(A166="","",J166+M166-K166-L166-N166-R166)</x:f>
      </x:c>
      <x:c r="U166" s="545" t="n"/>
      <x:c r="V166" s="545" t="n"/>
    </x:row>
    <x:row r="167">
      <x:c r="A167" s="545" t="n"/>
      <x:c r="B167" s="549" t="n"/>
      <x:c r="C167" s="545" t="n"/>
      <x:c r="D167" s="545" t="n"/>
      <x:c r="E167" s="545" t="n"/>
      <x:c r="F167" s="545" t="n"/>
      <x:c r="G167" s="545" t="n"/>
      <x:c r="H167" s="545" t="n"/>
      <x:c r="I167" s="550" t="n"/>
      <x:c r="J167" s="550" t="str">
        <x:f>IF(A167="","",IFERROR(H167*I167,""))</x:f>
      </x:c>
      <x:c r="K167" s="550" t="n"/>
      <x:c r="L167" s="550" t="n"/>
      <x:c r="M167" s="550" t="n"/>
      <x:c r="N167" s="550" t="n"/>
      <x:c r="O167" s="545" t="n"/>
      <x:c r="P167" s="545" t="n"/>
      <x:c r="Q167" s="550" t="str">
        <x:f>IF(E167="","",IFERROR(VLOOKUP(E167,'2_Tính giá'!$A$12:$M$51,13,FALSE),""))</x:f>
      </x:c>
      <x:c r="R167" s="550" t="str">
        <x:f>IF(OR(A167="",H167="",Q167=""),"",H167*Q167)</x:f>
      </x:c>
      <x:c r="S167" s="550" t="str">
        <x:f>IF(A167="","",J167+M167-K167-L167)</x:f>
      </x:c>
      <x:c r="T167" s="550" t="str">
        <x:f>IF(A167="","",J167+M167-K167-L167-N167-R167)</x:f>
      </x:c>
      <x:c r="U167" s="545" t="n"/>
      <x:c r="V167" s="545" t="n"/>
    </x:row>
    <x:row r="168">
      <x:c r="A168" s="545" t="n"/>
      <x:c r="B168" s="549" t="n"/>
      <x:c r="C168" s="545" t="n"/>
      <x:c r="D168" s="545" t="n"/>
      <x:c r="E168" s="545" t="n"/>
      <x:c r="F168" s="545" t="n"/>
      <x:c r="G168" s="545" t="n"/>
      <x:c r="H168" s="545" t="n"/>
      <x:c r="I168" s="550" t="n"/>
      <x:c r="J168" s="550" t="str">
        <x:f>IF(A168="","",IFERROR(H168*I168,""))</x:f>
      </x:c>
      <x:c r="K168" s="550" t="n"/>
      <x:c r="L168" s="550" t="n"/>
      <x:c r="M168" s="550" t="n"/>
      <x:c r="N168" s="550" t="n"/>
      <x:c r="O168" s="545" t="n"/>
      <x:c r="P168" s="545" t="n"/>
      <x:c r="Q168" s="550" t="str">
        <x:f>IF(E168="","",IFERROR(VLOOKUP(E168,'2_Tính giá'!$A$12:$M$51,13,FALSE),""))</x:f>
      </x:c>
      <x:c r="R168" s="550" t="str">
        <x:f>IF(OR(A168="",H168="",Q168=""),"",H168*Q168)</x:f>
      </x:c>
      <x:c r="S168" s="550" t="str">
        <x:f>IF(A168="","",J168+M168-K168-L168)</x:f>
      </x:c>
      <x:c r="T168" s="550" t="str">
        <x:f>IF(A168="","",J168+M168-K168-L168-N168-R168)</x:f>
      </x:c>
      <x:c r="U168" s="545" t="n"/>
      <x:c r="V168" s="545" t="n"/>
    </x:row>
    <x:row r="169">
      <x:c r="A169" s="545" t="n"/>
      <x:c r="B169" s="549" t="n"/>
      <x:c r="C169" s="545" t="n"/>
      <x:c r="D169" s="545" t="n"/>
      <x:c r="E169" s="545" t="n"/>
      <x:c r="F169" s="545" t="n"/>
      <x:c r="G169" s="545" t="n"/>
      <x:c r="H169" s="545" t="n"/>
      <x:c r="I169" s="550" t="n"/>
      <x:c r="J169" s="550" t="str">
        <x:f>IF(A169="","",IFERROR(H169*I169,""))</x:f>
      </x:c>
      <x:c r="K169" s="550" t="n"/>
      <x:c r="L169" s="550" t="n"/>
      <x:c r="M169" s="550" t="n"/>
      <x:c r="N169" s="550" t="n"/>
      <x:c r="O169" s="545" t="n"/>
      <x:c r="P169" s="545" t="n"/>
      <x:c r="Q169" s="550" t="str">
        <x:f>IF(E169="","",IFERROR(VLOOKUP(E169,'2_Tính giá'!$A$12:$M$51,13,FALSE),""))</x:f>
      </x:c>
      <x:c r="R169" s="550" t="str">
        <x:f>IF(OR(A169="",H169="",Q169=""),"",H169*Q169)</x:f>
      </x:c>
      <x:c r="S169" s="550" t="str">
        <x:f>IF(A169="","",J169+M169-K169-L169)</x:f>
      </x:c>
      <x:c r="T169" s="550" t="str">
        <x:f>IF(A169="","",J169+M169-K169-L169-N169-R169)</x:f>
      </x:c>
      <x:c r="U169" s="545" t="n"/>
      <x:c r="V169" s="545" t="n"/>
    </x:row>
    <x:row r="170">
      <x:c r="A170" s="545" t="n"/>
      <x:c r="B170" s="549" t="n"/>
      <x:c r="C170" s="545" t="n"/>
      <x:c r="D170" s="545" t="n"/>
      <x:c r="E170" s="545" t="n"/>
      <x:c r="F170" s="545" t="n"/>
      <x:c r="G170" s="545" t="n"/>
      <x:c r="H170" s="545" t="n"/>
      <x:c r="I170" s="550" t="n"/>
      <x:c r="J170" s="550" t="str">
        <x:f>IF(A170="","",IFERROR(H170*I170,""))</x:f>
      </x:c>
      <x:c r="K170" s="550" t="n"/>
      <x:c r="L170" s="550" t="n"/>
      <x:c r="M170" s="550" t="n"/>
      <x:c r="N170" s="550" t="n"/>
      <x:c r="O170" s="545" t="n"/>
      <x:c r="P170" s="545" t="n"/>
      <x:c r="Q170" s="550" t="str">
        <x:f>IF(E170="","",IFERROR(VLOOKUP(E170,'2_Tính giá'!$A$12:$M$51,13,FALSE),""))</x:f>
      </x:c>
      <x:c r="R170" s="550" t="str">
        <x:f>IF(OR(A170="",H170="",Q170=""),"",H170*Q170)</x:f>
      </x:c>
      <x:c r="S170" s="550" t="str">
        <x:f>IF(A170="","",J170+M170-K170-L170)</x:f>
      </x:c>
      <x:c r="T170" s="550" t="str">
        <x:f>IF(A170="","",J170+M170-K170-L170-N170-R170)</x:f>
      </x:c>
      <x:c r="U170" s="545" t="n"/>
      <x:c r="V170" s="545" t="n"/>
    </x:row>
    <x:row r="171">
      <x:c r="A171" s="545" t="n"/>
      <x:c r="B171" s="549" t="n"/>
      <x:c r="C171" s="545" t="n"/>
      <x:c r="D171" s="545" t="n"/>
      <x:c r="E171" s="545" t="n"/>
      <x:c r="F171" s="545" t="n"/>
      <x:c r="G171" s="545" t="n"/>
      <x:c r="H171" s="545" t="n"/>
      <x:c r="I171" s="550" t="n"/>
      <x:c r="J171" s="550" t="str">
        <x:f>IF(A171="","",IFERROR(H171*I171,""))</x:f>
      </x:c>
      <x:c r="K171" s="550" t="n"/>
      <x:c r="L171" s="550" t="n"/>
      <x:c r="M171" s="550" t="n"/>
      <x:c r="N171" s="550" t="n"/>
      <x:c r="O171" s="545" t="n"/>
      <x:c r="P171" s="545" t="n"/>
      <x:c r="Q171" s="550" t="str">
        <x:f>IF(E171="","",IFERROR(VLOOKUP(E171,'2_Tính giá'!$A$12:$M$51,13,FALSE),""))</x:f>
      </x:c>
      <x:c r="R171" s="550" t="str">
        <x:f>IF(OR(A171="",H171="",Q171=""),"",H171*Q171)</x:f>
      </x:c>
      <x:c r="S171" s="550" t="str">
        <x:f>IF(A171="","",J171+M171-K171-L171)</x:f>
      </x:c>
      <x:c r="T171" s="550" t="str">
        <x:f>IF(A171="","",J171+M171-K171-L171-N171-R171)</x:f>
      </x:c>
      <x:c r="U171" s="545" t="n"/>
      <x:c r="V171" s="545" t="n"/>
    </x:row>
    <x:row r="172">
      <x:c r="A172" s="545" t="n"/>
      <x:c r="B172" s="549" t="n"/>
      <x:c r="C172" s="545" t="n"/>
      <x:c r="D172" s="545" t="n"/>
      <x:c r="E172" s="545" t="n"/>
      <x:c r="F172" s="545" t="n"/>
      <x:c r="G172" s="545" t="n"/>
      <x:c r="H172" s="545" t="n"/>
      <x:c r="I172" s="550" t="n"/>
      <x:c r="J172" s="550" t="str">
        <x:f>IF(A172="","",IFERROR(H172*I172,""))</x:f>
      </x:c>
      <x:c r="K172" s="550" t="n"/>
      <x:c r="L172" s="550" t="n"/>
      <x:c r="M172" s="550" t="n"/>
      <x:c r="N172" s="550" t="n"/>
      <x:c r="O172" s="545" t="n"/>
      <x:c r="P172" s="545" t="n"/>
      <x:c r="Q172" s="550" t="str">
        <x:f>IF(E172="","",IFERROR(VLOOKUP(E172,'2_Tính giá'!$A$12:$M$51,13,FALSE),""))</x:f>
      </x:c>
      <x:c r="R172" s="550" t="str">
        <x:f>IF(OR(A172="",H172="",Q172=""),"",H172*Q172)</x:f>
      </x:c>
      <x:c r="S172" s="550" t="str">
        <x:f>IF(A172="","",J172+M172-K172-L172)</x:f>
      </x:c>
      <x:c r="T172" s="550" t="str">
        <x:f>IF(A172="","",J172+M172-K172-L172-N172-R172)</x:f>
      </x:c>
      <x:c r="U172" s="545" t="n"/>
      <x:c r="V172" s="545" t="n"/>
    </x:row>
    <x:row r="173">
      <x:c r="A173" s="545" t="n"/>
      <x:c r="B173" s="549" t="n"/>
      <x:c r="C173" s="545" t="n"/>
      <x:c r="D173" s="545" t="n"/>
      <x:c r="E173" s="545" t="n"/>
      <x:c r="F173" s="545" t="n"/>
      <x:c r="G173" s="545" t="n"/>
      <x:c r="H173" s="545" t="n"/>
      <x:c r="I173" s="550" t="n"/>
      <x:c r="J173" s="550" t="str">
        <x:f>IF(A173="","",IFERROR(H173*I173,""))</x:f>
      </x:c>
      <x:c r="K173" s="550" t="n"/>
      <x:c r="L173" s="550" t="n"/>
      <x:c r="M173" s="550" t="n"/>
      <x:c r="N173" s="550" t="n"/>
      <x:c r="O173" s="545" t="n"/>
      <x:c r="P173" s="545" t="n"/>
      <x:c r="Q173" s="550" t="str">
        <x:f>IF(E173="","",IFERROR(VLOOKUP(E173,'2_Tính giá'!$A$12:$M$51,13,FALSE),""))</x:f>
      </x:c>
      <x:c r="R173" s="550" t="str">
        <x:f>IF(OR(A173="",H173="",Q173=""),"",H173*Q173)</x:f>
      </x:c>
      <x:c r="S173" s="550" t="str">
        <x:f>IF(A173="","",J173+M173-K173-L173)</x:f>
      </x:c>
      <x:c r="T173" s="550" t="str">
        <x:f>IF(A173="","",J173+M173-K173-L173-N173-R173)</x:f>
      </x:c>
      <x:c r="U173" s="545" t="n"/>
      <x:c r="V173" s="545" t="n"/>
    </x:row>
    <x:row r="174">
      <x:c r="A174" s="545" t="n"/>
      <x:c r="B174" s="549" t="n"/>
      <x:c r="C174" s="545" t="n"/>
      <x:c r="D174" s="545" t="n"/>
      <x:c r="E174" s="545" t="n"/>
      <x:c r="F174" s="545" t="n"/>
      <x:c r="G174" s="545" t="n"/>
      <x:c r="H174" s="545" t="n"/>
      <x:c r="I174" s="550" t="n"/>
      <x:c r="J174" s="550" t="str">
        <x:f>IF(A174="","",IFERROR(H174*I174,""))</x:f>
      </x:c>
      <x:c r="K174" s="550" t="n"/>
      <x:c r="L174" s="550" t="n"/>
      <x:c r="M174" s="550" t="n"/>
      <x:c r="N174" s="550" t="n"/>
      <x:c r="O174" s="545" t="n"/>
      <x:c r="P174" s="545" t="n"/>
      <x:c r="Q174" s="550" t="str">
        <x:f>IF(E174="","",IFERROR(VLOOKUP(E174,'2_Tính giá'!$A$12:$M$51,13,FALSE),""))</x:f>
      </x:c>
      <x:c r="R174" s="550" t="str">
        <x:f>IF(OR(A174="",H174="",Q174=""),"",H174*Q174)</x:f>
      </x:c>
      <x:c r="S174" s="550" t="str">
        <x:f>IF(A174="","",J174+M174-K174-L174)</x:f>
      </x:c>
      <x:c r="T174" s="550" t="str">
        <x:f>IF(A174="","",J174+M174-K174-L174-N174-R174)</x:f>
      </x:c>
      <x:c r="U174" s="545" t="n"/>
      <x:c r="V174" s="545" t="n"/>
    </x:row>
    <x:row r="175">
      <x:c r="A175" s="545" t="n"/>
      <x:c r="B175" s="549" t="n"/>
      <x:c r="C175" s="545" t="n"/>
      <x:c r="D175" s="545" t="n"/>
      <x:c r="E175" s="545" t="n"/>
      <x:c r="F175" s="545" t="n"/>
      <x:c r="G175" s="545" t="n"/>
      <x:c r="H175" s="545" t="n"/>
      <x:c r="I175" s="550" t="n"/>
      <x:c r="J175" s="550" t="str">
        <x:f>IF(A175="","",IFERROR(H175*I175,""))</x:f>
      </x:c>
      <x:c r="K175" s="550" t="n"/>
      <x:c r="L175" s="550" t="n"/>
      <x:c r="M175" s="550" t="n"/>
      <x:c r="N175" s="550" t="n"/>
      <x:c r="O175" s="545" t="n"/>
      <x:c r="P175" s="545" t="n"/>
      <x:c r="Q175" s="550" t="str">
        <x:f>IF(E175="","",IFERROR(VLOOKUP(E175,'2_Tính giá'!$A$12:$M$51,13,FALSE),""))</x:f>
      </x:c>
      <x:c r="R175" s="550" t="str">
        <x:f>IF(OR(A175="",H175="",Q175=""),"",H175*Q175)</x:f>
      </x:c>
      <x:c r="S175" s="550" t="str">
        <x:f>IF(A175="","",J175+M175-K175-L175)</x:f>
      </x:c>
      <x:c r="T175" s="550" t="str">
        <x:f>IF(A175="","",J175+M175-K175-L175-N175-R175)</x:f>
      </x:c>
      <x:c r="U175" s="545" t="n"/>
      <x:c r="V175" s="545" t="n"/>
    </x:row>
    <x:row r="176">
      <x:c r="A176" s="545" t="n"/>
      <x:c r="B176" s="549" t="n"/>
      <x:c r="C176" s="545" t="n"/>
      <x:c r="D176" s="545" t="n"/>
      <x:c r="E176" s="545" t="n"/>
      <x:c r="F176" s="545" t="n"/>
      <x:c r="G176" s="545" t="n"/>
      <x:c r="H176" s="545" t="n"/>
      <x:c r="I176" s="550" t="n"/>
      <x:c r="J176" s="550" t="str">
        <x:f>IF(A176="","",IFERROR(H176*I176,""))</x:f>
      </x:c>
      <x:c r="K176" s="550" t="n"/>
      <x:c r="L176" s="550" t="n"/>
      <x:c r="M176" s="550" t="n"/>
      <x:c r="N176" s="550" t="n"/>
      <x:c r="O176" s="545" t="n"/>
      <x:c r="P176" s="545" t="n"/>
      <x:c r="Q176" s="550" t="str">
        <x:f>IF(E176="","",IFERROR(VLOOKUP(E176,'2_Tính giá'!$A$12:$M$51,13,FALSE),""))</x:f>
      </x:c>
      <x:c r="R176" s="550" t="str">
        <x:f>IF(OR(A176="",H176="",Q176=""),"",H176*Q176)</x:f>
      </x:c>
      <x:c r="S176" s="550" t="str">
        <x:f>IF(A176="","",J176+M176-K176-L176)</x:f>
      </x:c>
      <x:c r="T176" s="550" t="str">
        <x:f>IF(A176="","",J176+M176-K176-L176-N176-R176)</x:f>
      </x:c>
      <x:c r="U176" s="545" t="n"/>
      <x:c r="V176" s="545" t="n"/>
    </x:row>
    <x:row r="177">
      <x:c r="A177" s="545" t="n"/>
      <x:c r="B177" s="549" t="n"/>
      <x:c r="C177" s="545" t="n"/>
      <x:c r="D177" s="545" t="n"/>
      <x:c r="E177" s="545" t="n"/>
      <x:c r="F177" s="545" t="n"/>
      <x:c r="G177" s="545" t="n"/>
      <x:c r="H177" s="545" t="n"/>
      <x:c r="I177" s="550" t="n"/>
      <x:c r="J177" s="550" t="str">
        <x:f>IF(A177="","",IFERROR(H177*I177,""))</x:f>
      </x:c>
      <x:c r="K177" s="550" t="n"/>
      <x:c r="L177" s="550" t="n"/>
      <x:c r="M177" s="550" t="n"/>
      <x:c r="N177" s="550" t="n"/>
      <x:c r="O177" s="545" t="n"/>
      <x:c r="P177" s="545" t="n"/>
      <x:c r="Q177" s="550" t="str">
        <x:f>IF(E177="","",IFERROR(VLOOKUP(E177,'2_Tính giá'!$A$12:$M$51,13,FALSE),""))</x:f>
      </x:c>
      <x:c r="R177" s="550" t="str">
        <x:f>IF(OR(A177="",H177="",Q177=""),"",H177*Q177)</x:f>
      </x:c>
      <x:c r="S177" s="550" t="str">
        <x:f>IF(A177="","",J177+M177-K177-L177)</x:f>
      </x:c>
      <x:c r="T177" s="550" t="str">
        <x:f>IF(A177="","",J177+M177-K177-L177-N177-R177)</x:f>
      </x:c>
      <x:c r="U177" s="545" t="n"/>
      <x:c r="V177" s="545" t="n"/>
    </x:row>
    <x:row r="178">
      <x:c r="A178" s="545" t="n"/>
      <x:c r="B178" s="549" t="n"/>
      <x:c r="C178" s="545" t="n"/>
      <x:c r="D178" s="545" t="n"/>
      <x:c r="E178" s="545" t="n"/>
      <x:c r="F178" s="545" t="n"/>
      <x:c r="G178" s="545" t="n"/>
      <x:c r="H178" s="545" t="n"/>
      <x:c r="I178" s="550" t="n"/>
      <x:c r="J178" s="550" t="str">
        <x:f>IF(A178="","",IFERROR(H178*I178,""))</x:f>
      </x:c>
      <x:c r="K178" s="550" t="n"/>
      <x:c r="L178" s="550" t="n"/>
      <x:c r="M178" s="550" t="n"/>
      <x:c r="N178" s="550" t="n"/>
      <x:c r="O178" s="545" t="n"/>
      <x:c r="P178" s="545" t="n"/>
      <x:c r="Q178" s="550" t="str">
        <x:f>IF(E178="","",IFERROR(VLOOKUP(E178,'2_Tính giá'!$A$12:$M$51,13,FALSE),""))</x:f>
      </x:c>
      <x:c r="R178" s="550" t="str">
        <x:f>IF(OR(A178="",H178="",Q178=""),"",H178*Q178)</x:f>
      </x:c>
      <x:c r="S178" s="550" t="str">
        <x:f>IF(A178="","",J178+M178-K178-L178)</x:f>
      </x:c>
      <x:c r="T178" s="550" t="str">
        <x:f>IF(A178="","",J178+M178-K178-L178-N178-R178)</x:f>
      </x:c>
      <x:c r="U178" s="545" t="n"/>
      <x:c r="V178" s="545" t="n"/>
    </x:row>
    <x:row r="179">
      <x:c r="A179" s="545" t="n"/>
      <x:c r="B179" s="549" t="n"/>
      <x:c r="C179" s="545" t="n"/>
      <x:c r="D179" s="545" t="n"/>
      <x:c r="E179" s="545" t="n"/>
      <x:c r="F179" s="545" t="n"/>
      <x:c r="G179" s="545" t="n"/>
      <x:c r="H179" s="545" t="n"/>
      <x:c r="I179" s="550" t="n"/>
      <x:c r="J179" s="550" t="str">
        <x:f>IF(A179="","",IFERROR(H179*I179,""))</x:f>
      </x:c>
      <x:c r="K179" s="550" t="n"/>
      <x:c r="L179" s="550" t="n"/>
      <x:c r="M179" s="550" t="n"/>
      <x:c r="N179" s="550" t="n"/>
      <x:c r="O179" s="545" t="n"/>
      <x:c r="P179" s="545" t="n"/>
      <x:c r="Q179" s="550" t="str">
        <x:f>IF(E179="","",IFERROR(VLOOKUP(E179,'2_Tính giá'!$A$12:$M$51,13,FALSE),""))</x:f>
      </x:c>
      <x:c r="R179" s="550" t="str">
        <x:f>IF(OR(A179="",H179="",Q179=""),"",H179*Q179)</x:f>
      </x:c>
      <x:c r="S179" s="550" t="str">
        <x:f>IF(A179="","",J179+M179-K179-L179)</x:f>
      </x:c>
      <x:c r="T179" s="550" t="str">
        <x:f>IF(A179="","",J179+M179-K179-L179-N179-R179)</x:f>
      </x:c>
      <x:c r="U179" s="545" t="n"/>
      <x:c r="V179" s="545" t="n"/>
    </x:row>
    <x:row r="180">
      <x:c r="A180" s="545" t="n"/>
      <x:c r="B180" s="549" t="n"/>
      <x:c r="C180" s="545" t="n"/>
      <x:c r="D180" s="545" t="n"/>
      <x:c r="E180" s="545" t="n"/>
      <x:c r="F180" s="545" t="n"/>
      <x:c r="G180" s="545" t="n"/>
      <x:c r="H180" s="545" t="n"/>
      <x:c r="I180" s="550" t="n"/>
      <x:c r="J180" s="550" t="str">
        <x:f>IF(A180="","",IFERROR(H180*I180,""))</x:f>
      </x:c>
      <x:c r="K180" s="550" t="n"/>
      <x:c r="L180" s="550" t="n"/>
      <x:c r="M180" s="550" t="n"/>
      <x:c r="N180" s="550" t="n"/>
      <x:c r="O180" s="545" t="n"/>
      <x:c r="P180" s="545" t="n"/>
      <x:c r="Q180" s="550" t="str">
        <x:f>IF(E180="","",IFERROR(VLOOKUP(E180,'2_Tính giá'!$A$12:$M$51,13,FALSE),""))</x:f>
      </x:c>
      <x:c r="R180" s="550" t="str">
        <x:f>IF(OR(A180="",H180="",Q180=""),"",H180*Q180)</x:f>
      </x:c>
      <x:c r="S180" s="550" t="str">
        <x:f>IF(A180="","",J180+M180-K180-L180)</x:f>
      </x:c>
      <x:c r="T180" s="550" t="str">
        <x:f>IF(A180="","",J180+M180-K180-L180-N180-R180)</x:f>
      </x:c>
      <x:c r="U180" s="545" t="n"/>
      <x:c r="V180" s="545" t="n"/>
    </x:row>
    <x:row r="181">
      <x:c r="A181" s="545" t="n"/>
      <x:c r="B181" s="549" t="n"/>
      <x:c r="C181" s="545" t="n"/>
      <x:c r="D181" s="545" t="n"/>
      <x:c r="E181" s="545" t="n"/>
      <x:c r="F181" s="545" t="n"/>
      <x:c r="G181" s="545" t="n"/>
      <x:c r="H181" s="545" t="n"/>
      <x:c r="I181" s="550" t="n"/>
      <x:c r="J181" s="550" t="str">
        <x:f>IF(A181="","",IFERROR(H181*I181,""))</x:f>
      </x:c>
      <x:c r="K181" s="550" t="n"/>
      <x:c r="L181" s="550" t="n"/>
      <x:c r="M181" s="550" t="n"/>
      <x:c r="N181" s="550" t="n"/>
      <x:c r="O181" s="545" t="n"/>
      <x:c r="P181" s="545" t="n"/>
      <x:c r="Q181" s="550" t="str">
        <x:f>IF(E181="","",IFERROR(VLOOKUP(E181,'2_Tính giá'!$A$12:$M$51,13,FALSE),""))</x:f>
      </x:c>
      <x:c r="R181" s="550" t="str">
        <x:f>IF(OR(A181="",H181="",Q181=""),"",H181*Q181)</x:f>
      </x:c>
      <x:c r="S181" s="550" t="str">
        <x:f>IF(A181="","",J181+M181-K181-L181)</x:f>
      </x:c>
      <x:c r="T181" s="550" t="str">
        <x:f>IF(A181="","",J181+M181-K181-L181-N181-R181)</x:f>
      </x:c>
      <x:c r="U181" s="545" t="n"/>
      <x:c r="V181" s="545" t="n"/>
    </x:row>
    <x:row r="182">
      <x:c r="A182" s="545" t="n"/>
      <x:c r="B182" s="549" t="n"/>
      <x:c r="C182" s="545" t="n"/>
      <x:c r="D182" s="545" t="n"/>
      <x:c r="E182" s="545" t="n"/>
      <x:c r="F182" s="545" t="n"/>
      <x:c r="G182" s="545" t="n"/>
      <x:c r="H182" s="545" t="n"/>
      <x:c r="I182" s="550" t="n"/>
      <x:c r="J182" s="550" t="str">
        <x:f>IF(A182="","",IFERROR(H182*I182,""))</x:f>
      </x:c>
      <x:c r="K182" s="550" t="n"/>
      <x:c r="L182" s="550" t="n"/>
      <x:c r="M182" s="550" t="n"/>
      <x:c r="N182" s="550" t="n"/>
      <x:c r="O182" s="545" t="n"/>
      <x:c r="P182" s="545" t="n"/>
      <x:c r="Q182" s="550" t="str">
        <x:f>IF(E182="","",IFERROR(VLOOKUP(E182,'2_Tính giá'!$A$12:$M$51,13,FALSE),""))</x:f>
      </x:c>
      <x:c r="R182" s="550" t="str">
        <x:f>IF(OR(A182="",H182="",Q182=""),"",H182*Q182)</x:f>
      </x:c>
      <x:c r="S182" s="550" t="str">
        <x:f>IF(A182="","",J182+M182-K182-L182)</x:f>
      </x:c>
      <x:c r="T182" s="550" t="str">
        <x:f>IF(A182="","",J182+M182-K182-L182-N182-R182)</x:f>
      </x:c>
      <x:c r="U182" s="545" t="n"/>
      <x:c r="V182" s="545" t="n"/>
    </x:row>
    <x:row r="183">
      <x:c r="A183" s="545" t="n"/>
      <x:c r="B183" s="549" t="n"/>
      <x:c r="C183" s="545" t="n"/>
      <x:c r="D183" s="545" t="n"/>
      <x:c r="E183" s="545" t="n"/>
      <x:c r="F183" s="545" t="n"/>
      <x:c r="G183" s="545" t="n"/>
      <x:c r="H183" s="545" t="n"/>
      <x:c r="I183" s="550" t="n"/>
      <x:c r="J183" s="550" t="str">
        <x:f>IF(A183="","",IFERROR(H183*I183,""))</x:f>
      </x:c>
      <x:c r="K183" s="550" t="n"/>
      <x:c r="L183" s="550" t="n"/>
      <x:c r="M183" s="550" t="n"/>
      <x:c r="N183" s="550" t="n"/>
      <x:c r="O183" s="545" t="n"/>
      <x:c r="P183" s="545" t="n"/>
      <x:c r="Q183" s="550" t="str">
        <x:f>IF(E183="","",IFERROR(VLOOKUP(E183,'2_Tính giá'!$A$12:$M$51,13,FALSE),""))</x:f>
      </x:c>
      <x:c r="R183" s="550" t="str">
        <x:f>IF(OR(A183="",H183="",Q183=""),"",H183*Q183)</x:f>
      </x:c>
      <x:c r="S183" s="550" t="str">
        <x:f>IF(A183="","",J183+M183-K183-L183)</x:f>
      </x:c>
      <x:c r="T183" s="550" t="str">
        <x:f>IF(A183="","",J183+M183-K183-L183-N183-R183)</x:f>
      </x:c>
      <x:c r="U183" s="545" t="n"/>
      <x:c r="V183" s="545" t="n"/>
    </x:row>
    <x:row r="184">
      <x:c r="A184" s="545" t="n"/>
      <x:c r="B184" s="549" t="n"/>
      <x:c r="C184" s="545" t="n"/>
      <x:c r="D184" s="545" t="n"/>
      <x:c r="E184" s="545" t="n"/>
      <x:c r="F184" s="545" t="n"/>
      <x:c r="G184" s="545" t="n"/>
      <x:c r="H184" s="545" t="n"/>
      <x:c r="I184" s="550" t="n"/>
      <x:c r="J184" s="550" t="str">
        <x:f>IF(A184="","",IFERROR(H184*I184,""))</x:f>
      </x:c>
      <x:c r="K184" s="550" t="n"/>
      <x:c r="L184" s="550" t="n"/>
      <x:c r="M184" s="550" t="n"/>
      <x:c r="N184" s="550" t="n"/>
      <x:c r="O184" s="545" t="n"/>
      <x:c r="P184" s="545" t="n"/>
      <x:c r="Q184" s="550" t="str">
        <x:f>IF(E184="","",IFERROR(VLOOKUP(E184,'2_Tính giá'!$A$12:$M$51,13,FALSE),""))</x:f>
      </x:c>
      <x:c r="R184" s="550" t="str">
        <x:f>IF(OR(A184="",H184="",Q184=""),"",H184*Q184)</x:f>
      </x:c>
      <x:c r="S184" s="550" t="str">
        <x:f>IF(A184="","",J184+M184-K184-L184)</x:f>
      </x:c>
      <x:c r="T184" s="550" t="str">
        <x:f>IF(A184="","",J184+M184-K184-L184-N184-R184)</x:f>
      </x:c>
      <x:c r="U184" s="545" t="n"/>
      <x:c r="V184" s="545" t="n"/>
    </x:row>
    <x:row r="185">
      <x:c r="A185" s="545" t="n"/>
      <x:c r="B185" s="549" t="n"/>
      <x:c r="C185" s="545" t="n"/>
      <x:c r="D185" s="545" t="n"/>
      <x:c r="E185" s="545" t="n"/>
      <x:c r="F185" s="545" t="n"/>
      <x:c r="G185" s="545" t="n"/>
      <x:c r="H185" s="545" t="n"/>
      <x:c r="I185" s="550" t="n"/>
      <x:c r="J185" s="550" t="str">
        <x:f>IF(A185="","",IFERROR(H185*I185,""))</x:f>
      </x:c>
      <x:c r="K185" s="550" t="n"/>
      <x:c r="L185" s="550" t="n"/>
      <x:c r="M185" s="550" t="n"/>
      <x:c r="N185" s="550" t="n"/>
      <x:c r="O185" s="545" t="n"/>
      <x:c r="P185" s="545" t="n"/>
      <x:c r="Q185" s="550" t="str">
        <x:f>IF(E185="","",IFERROR(VLOOKUP(E185,'2_Tính giá'!$A$12:$M$51,13,FALSE),""))</x:f>
      </x:c>
      <x:c r="R185" s="550" t="str">
        <x:f>IF(OR(A185="",H185="",Q185=""),"",H185*Q185)</x:f>
      </x:c>
      <x:c r="S185" s="550" t="str">
        <x:f>IF(A185="","",J185+M185-K185-L185)</x:f>
      </x:c>
      <x:c r="T185" s="550" t="str">
        <x:f>IF(A185="","",J185+M185-K185-L185-N185-R185)</x:f>
      </x:c>
      <x:c r="U185" s="545" t="n"/>
      <x:c r="V185" s="545" t="n"/>
    </x:row>
    <x:row r="186">
      <x:c r="A186" s="545" t="n"/>
      <x:c r="B186" s="549" t="n"/>
      <x:c r="C186" s="545" t="n"/>
      <x:c r="D186" s="545" t="n"/>
      <x:c r="E186" s="545" t="n"/>
      <x:c r="F186" s="545" t="n"/>
      <x:c r="G186" s="545" t="n"/>
      <x:c r="H186" s="545" t="n"/>
      <x:c r="I186" s="550" t="n"/>
      <x:c r="J186" s="550" t="str">
        <x:f>IF(A186="","",IFERROR(H186*I186,""))</x:f>
      </x:c>
      <x:c r="K186" s="550" t="n"/>
      <x:c r="L186" s="550" t="n"/>
      <x:c r="M186" s="550" t="n"/>
      <x:c r="N186" s="550" t="n"/>
      <x:c r="O186" s="545" t="n"/>
      <x:c r="P186" s="545" t="n"/>
      <x:c r="Q186" s="550" t="str">
        <x:f>IF(E186="","",IFERROR(VLOOKUP(E186,'2_Tính giá'!$A$12:$M$51,13,FALSE),""))</x:f>
      </x:c>
      <x:c r="R186" s="550" t="str">
        <x:f>IF(OR(A186="",H186="",Q186=""),"",H186*Q186)</x:f>
      </x:c>
      <x:c r="S186" s="550" t="str">
        <x:f>IF(A186="","",J186+M186-K186-L186)</x:f>
      </x:c>
      <x:c r="T186" s="550" t="str">
        <x:f>IF(A186="","",J186+M186-K186-L186-N186-R186)</x:f>
      </x:c>
      <x:c r="U186" s="545" t="n"/>
      <x:c r="V186" s="545" t="n"/>
    </x:row>
    <x:row r="187">
      <x:c r="A187" s="545" t="n"/>
      <x:c r="B187" s="549" t="n"/>
      <x:c r="C187" s="545" t="n"/>
      <x:c r="D187" s="545" t="n"/>
      <x:c r="E187" s="545" t="n"/>
      <x:c r="F187" s="545" t="n"/>
      <x:c r="G187" s="545" t="n"/>
      <x:c r="H187" s="545" t="n"/>
      <x:c r="I187" s="550" t="n"/>
      <x:c r="J187" s="550" t="str">
        <x:f>IF(A187="","",IFERROR(H187*I187,""))</x:f>
      </x:c>
      <x:c r="K187" s="550" t="n"/>
      <x:c r="L187" s="550" t="n"/>
      <x:c r="M187" s="550" t="n"/>
      <x:c r="N187" s="550" t="n"/>
      <x:c r="O187" s="545" t="n"/>
      <x:c r="P187" s="545" t="n"/>
      <x:c r="Q187" s="550" t="str">
        <x:f>IF(E187="","",IFERROR(VLOOKUP(E187,'2_Tính giá'!$A$12:$M$51,13,FALSE),""))</x:f>
      </x:c>
      <x:c r="R187" s="550" t="str">
        <x:f>IF(OR(A187="",H187="",Q187=""),"",H187*Q187)</x:f>
      </x:c>
      <x:c r="S187" s="550" t="str">
        <x:f>IF(A187="","",J187+M187-K187-L187)</x:f>
      </x:c>
      <x:c r="T187" s="550" t="str">
        <x:f>IF(A187="","",J187+M187-K187-L187-N187-R187)</x:f>
      </x:c>
      <x:c r="U187" s="545" t="n"/>
      <x:c r="V187" s="545" t="n"/>
    </x:row>
    <x:row r="188">
      <x:c r="A188" s="545" t="n"/>
      <x:c r="B188" s="549" t="n"/>
      <x:c r="C188" s="545" t="n"/>
      <x:c r="D188" s="545" t="n"/>
      <x:c r="E188" s="545" t="n"/>
      <x:c r="F188" s="545" t="n"/>
      <x:c r="G188" s="545" t="n"/>
      <x:c r="H188" s="545" t="n"/>
      <x:c r="I188" s="550" t="n"/>
      <x:c r="J188" s="550" t="str">
        <x:f>IF(A188="","",IFERROR(H188*I188,""))</x:f>
      </x:c>
      <x:c r="K188" s="550" t="n"/>
      <x:c r="L188" s="550" t="n"/>
      <x:c r="M188" s="550" t="n"/>
      <x:c r="N188" s="550" t="n"/>
      <x:c r="O188" s="545" t="n"/>
      <x:c r="P188" s="545" t="n"/>
      <x:c r="Q188" s="550" t="str">
        <x:f>IF(E188="","",IFERROR(VLOOKUP(E188,'2_Tính giá'!$A$12:$M$51,13,FALSE),""))</x:f>
      </x:c>
      <x:c r="R188" s="550" t="str">
        <x:f>IF(OR(A188="",H188="",Q188=""),"",H188*Q188)</x:f>
      </x:c>
      <x:c r="S188" s="550" t="str">
        <x:f>IF(A188="","",J188+M188-K188-L188)</x:f>
      </x:c>
      <x:c r="T188" s="550" t="str">
        <x:f>IF(A188="","",J188+M188-K188-L188-N188-R188)</x:f>
      </x:c>
      <x:c r="U188" s="545" t="n"/>
      <x:c r="V188" s="545" t="n"/>
    </x:row>
    <x:row r="189">
      <x:c r="A189" s="545" t="n"/>
      <x:c r="B189" s="549" t="n"/>
      <x:c r="C189" s="545" t="n"/>
      <x:c r="D189" s="545" t="n"/>
      <x:c r="E189" s="545" t="n"/>
      <x:c r="F189" s="545" t="n"/>
      <x:c r="G189" s="545" t="n"/>
      <x:c r="H189" s="545" t="n"/>
      <x:c r="I189" s="550" t="n"/>
      <x:c r="J189" s="550" t="str">
        <x:f>IF(A189="","",IFERROR(H189*I189,""))</x:f>
      </x:c>
      <x:c r="K189" s="550" t="n"/>
      <x:c r="L189" s="550" t="n"/>
      <x:c r="M189" s="550" t="n"/>
      <x:c r="N189" s="550" t="n"/>
      <x:c r="O189" s="545" t="n"/>
      <x:c r="P189" s="545" t="n"/>
      <x:c r="Q189" s="550" t="str">
        <x:f>IF(E189="","",IFERROR(VLOOKUP(E189,'2_Tính giá'!$A$12:$M$51,13,FALSE),""))</x:f>
      </x:c>
      <x:c r="R189" s="550" t="str">
        <x:f>IF(OR(A189="",H189="",Q189=""),"",H189*Q189)</x:f>
      </x:c>
      <x:c r="S189" s="550" t="str">
        <x:f>IF(A189="","",J189+M189-K189-L189)</x:f>
      </x:c>
      <x:c r="T189" s="550" t="str">
        <x:f>IF(A189="","",J189+M189-K189-L189-N189-R189)</x:f>
      </x:c>
      <x:c r="U189" s="545" t="n"/>
      <x:c r="V189" s="545" t="n"/>
    </x:row>
    <x:row r="190">
      <x:c r="A190" s="545" t="n"/>
      <x:c r="B190" s="549" t="n"/>
      <x:c r="C190" s="545" t="n"/>
      <x:c r="D190" s="545" t="n"/>
      <x:c r="E190" s="545" t="n"/>
      <x:c r="F190" s="545" t="n"/>
      <x:c r="G190" s="545" t="n"/>
      <x:c r="H190" s="545" t="n"/>
      <x:c r="I190" s="550" t="n"/>
      <x:c r="J190" s="550" t="str">
        <x:f>IF(A190="","",IFERROR(H190*I190,""))</x:f>
      </x:c>
      <x:c r="K190" s="550" t="n"/>
      <x:c r="L190" s="550" t="n"/>
      <x:c r="M190" s="550" t="n"/>
      <x:c r="N190" s="550" t="n"/>
      <x:c r="O190" s="545" t="n"/>
      <x:c r="P190" s="545" t="n"/>
      <x:c r="Q190" s="550" t="str">
        <x:f>IF(E190="","",IFERROR(VLOOKUP(E190,'2_Tính giá'!$A$12:$M$51,13,FALSE),""))</x:f>
      </x:c>
      <x:c r="R190" s="550" t="str">
        <x:f>IF(OR(A190="",H190="",Q190=""),"",H190*Q190)</x:f>
      </x:c>
      <x:c r="S190" s="550" t="str">
        <x:f>IF(A190="","",J190+M190-K190-L190)</x:f>
      </x:c>
      <x:c r="T190" s="550" t="str">
        <x:f>IF(A190="","",J190+M190-K190-L190-N190-R190)</x:f>
      </x:c>
      <x:c r="U190" s="545" t="n"/>
      <x:c r="V190" s="545" t="n"/>
    </x:row>
    <x:row r="191">
      <x:c r="A191" s="545" t="n"/>
      <x:c r="B191" s="549" t="n"/>
      <x:c r="C191" s="545" t="n"/>
      <x:c r="D191" s="545" t="n"/>
      <x:c r="E191" s="545" t="n"/>
      <x:c r="F191" s="545" t="n"/>
      <x:c r="G191" s="545" t="n"/>
      <x:c r="H191" s="545" t="n"/>
      <x:c r="I191" s="550" t="n"/>
      <x:c r="J191" s="550" t="str">
        <x:f>IF(A191="","",IFERROR(H191*I191,""))</x:f>
      </x:c>
      <x:c r="K191" s="550" t="n"/>
      <x:c r="L191" s="550" t="n"/>
      <x:c r="M191" s="550" t="n"/>
      <x:c r="N191" s="550" t="n"/>
      <x:c r="O191" s="545" t="n"/>
      <x:c r="P191" s="545" t="n"/>
      <x:c r="Q191" s="550" t="str">
        <x:f>IF(E191="","",IFERROR(VLOOKUP(E191,'2_Tính giá'!$A$12:$M$51,13,FALSE),""))</x:f>
      </x:c>
      <x:c r="R191" s="550" t="str">
        <x:f>IF(OR(A191="",H191="",Q191=""),"",H191*Q191)</x:f>
      </x:c>
      <x:c r="S191" s="550" t="str">
        <x:f>IF(A191="","",J191+M191-K191-L191)</x:f>
      </x:c>
      <x:c r="T191" s="550" t="str">
        <x:f>IF(A191="","",J191+M191-K191-L191-N191-R191)</x:f>
      </x:c>
      <x:c r="U191" s="545" t="n"/>
      <x:c r="V191" s="545" t="n"/>
    </x:row>
    <x:row r="192">
      <x:c r="A192" s="545" t="n"/>
      <x:c r="B192" s="549" t="n"/>
      <x:c r="C192" s="545" t="n"/>
      <x:c r="D192" s="545" t="n"/>
      <x:c r="E192" s="545" t="n"/>
      <x:c r="F192" s="545" t="n"/>
      <x:c r="G192" s="545" t="n"/>
      <x:c r="H192" s="545" t="n"/>
      <x:c r="I192" s="550" t="n"/>
      <x:c r="J192" s="550" t="str">
        <x:f>IF(A192="","",IFERROR(H192*I192,""))</x:f>
      </x:c>
      <x:c r="K192" s="550" t="n"/>
      <x:c r="L192" s="550" t="n"/>
      <x:c r="M192" s="550" t="n"/>
      <x:c r="N192" s="550" t="n"/>
      <x:c r="O192" s="545" t="n"/>
      <x:c r="P192" s="545" t="n"/>
      <x:c r="Q192" s="550" t="str">
        <x:f>IF(E192="","",IFERROR(VLOOKUP(E192,'2_Tính giá'!$A$12:$M$51,13,FALSE),""))</x:f>
      </x:c>
      <x:c r="R192" s="550" t="str">
        <x:f>IF(OR(A192="",H192="",Q192=""),"",H192*Q192)</x:f>
      </x:c>
      <x:c r="S192" s="550" t="str">
        <x:f>IF(A192="","",J192+M192-K192-L192)</x:f>
      </x:c>
      <x:c r="T192" s="550" t="str">
        <x:f>IF(A192="","",J192+M192-K192-L192-N192-R192)</x:f>
      </x:c>
      <x:c r="U192" s="545" t="n"/>
      <x:c r="V192" s="545" t="n"/>
    </x:row>
    <x:row r="193">
      <x:c r="A193" s="545" t="n"/>
      <x:c r="B193" s="549" t="n"/>
      <x:c r="C193" s="545" t="n"/>
      <x:c r="D193" s="545" t="n"/>
      <x:c r="E193" s="545" t="n"/>
      <x:c r="F193" s="545" t="n"/>
      <x:c r="G193" s="545" t="n"/>
      <x:c r="H193" s="545" t="n"/>
      <x:c r="I193" s="550" t="n"/>
      <x:c r="J193" s="550" t="str">
        <x:f>IF(A193="","",IFERROR(H193*I193,""))</x:f>
      </x:c>
      <x:c r="K193" s="550" t="n"/>
      <x:c r="L193" s="550" t="n"/>
      <x:c r="M193" s="550" t="n"/>
      <x:c r="N193" s="550" t="n"/>
      <x:c r="O193" s="545" t="n"/>
      <x:c r="P193" s="545" t="n"/>
      <x:c r="Q193" s="550" t="str">
        <x:f>IF(E193="","",IFERROR(VLOOKUP(E193,'2_Tính giá'!$A$12:$M$51,13,FALSE),""))</x:f>
      </x:c>
      <x:c r="R193" s="550" t="str">
        <x:f>IF(OR(A193="",H193="",Q193=""),"",H193*Q193)</x:f>
      </x:c>
      <x:c r="S193" s="550" t="str">
        <x:f>IF(A193="","",J193+M193-K193-L193)</x:f>
      </x:c>
      <x:c r="T193" s="550" t="str">
        <x:f>IF(A193="","",J193+M193-K193-L193-N193-R193)</x:f>
      </x:c>
      <x:c r="U193" s="545" t="n"/>
      <x:c r="V193" s="545" t="n"/>
    </x:row>
    <x:row r="194">
      <x:c r="A194" s="545" t="n"/>
      <x:c r="B194" s="549" t="n"/>
      <x:c r="C194" s="545" t="n"/>
      <x:c r="D194" s="545" t="n"/>
      <x:c r="E194" s="545" t="n"/>
      <x:c r="F194" s="545" t="n"/>
      <x:c r="G194" s="545" t="n"/>
      <x:c r="H194" s="545" t="n"/>
      <x:c r="I194" s="550" t="n"/>
      <x:c r="J194" s="550" t="str">
        <x:f>IF(A194="","",IFERROR(H194*I194,""))</x:f>
      </x:c>
      <x:c r="K194" s="550" t="n"/>
      <x:c r="L194" s="550" t="n"/>
      <x:c r="M194" s="550" t="n"/>
      <x:c r="N194" s="550" t="n"/>
      <x:c r="O194" s="545" t="n"/>
      <x:c r="P194" s="545" t="n"/>
      <x:c r="Q194" s="550" t="str">
        <x:f>IF(E194="","",IFERROR(VLOOKUP(E194,'2_Tính giá'!$A$12:$M$51,13,FALSE),""))</x:f>
      </x:c>
      <x:c r="R194" s="550" t="str">
        <x:f>IF(OR(A194="",H194="",Q194=""),"",H194*Q194)</x:f>
      </x:c>
      <x:c r="S194" s="550" t="str">
        <x:f>IF(A194="","",J194+M194-K194-L194)</x:f>
      </x:c>
      <x:c r="T194" s="550" t="str">
        <x:f>IF(A194="","",J194+M194-K194-L194-N194-R194)</x:f>
      </x:c>
      <x:c r="U194" s="545" t="n"/>
      <x:c r="V194" s="545" t="n"/>
    </x:row>
    <x:row r="195">
      <x:c r="A195" s="545" t="n"/>
      <x:c r="B195" s="549" t="n"/>
      <x:c r="C195" s="545" t="n"/>
      <x:c r="D195" s="545" t="n"/>
      <x:c r="E195" s="545" t="n"/>
      <x:c r="F195" s="545" t="n"/>
      <x:c r="G195" s="545" t="n"/>
      <x:c r="H195" s="545" t="n"/>
      <x:c r="I195" s="550" t="n"/>
      <x:c r="J195" s="550" t="str">
        <x:f>IF(A195="","",IFERROR(H195*I195,""))</x:f>
      </x:c>
      <x:c r="K195" s="550" t="n"/>
      <x:c r="L195" s="550" t="n"/>
      <x:c r="M195" s="550" t="n"/>
      <x:c r="N195" s="550" t="n"/>
      <x:c r="O195" s="545" t="n"/>
      <x:c r="P195" s="545" t="n"/>
      <x:c r="Q195" s="550" t="str">
        <x:f>IF(E195="","",IFERROR(VLOOKUP(E195,'2_Tính giá'!$A$12:$M$51,13,FALSE),""))</x:f>
      </x:c>
      <x:c r="R195" s="550" t="str">
        <x:f>IF(OR(A195="",H195="",Q195=""),"",H195*Q195)</x:f>
      </x:c>
      <x:c r="S195" s="550" t="str">
        <x:f>IF(A195="","",J195+M195-K195-L195)</x:f>
      </x:c>
      <x:c r="T195" s="550" t="str">
        <x:f>IF(A195="","",J195+M195-K195-L195-N195-R195)</x:f>
      </x:c>
      <x:c r="U195" s="545" t="n"/>
      <x:c r="V195" s="545" t="n"/>
    </x:row>
    <x:row r="196">
      <x:c r="A196" s="545" t="n"/>
      <x:c r="B196" s="549" t="n"/>
      <x:c r="C196" s="545" t="n"/>
      <x:c r="D196" s="545" t="n"/>
      <x:c r="E196" s="545" t="n"/>
      <x:c r="F196" s="545" t="n"/>
      <x:c r="G196" s="545" t="n"/>
      <x:c r="H196" s="545" t="n"/>
      <x:c r="I196" s="550" t="n"/>
      <x:c r="J196" s="550" t="str">
        <x:f>IF(A196="","",IFERROR(H196*I196,""))</x:f>
      </x:c>
      <x:c r="K196" s="550" t="n"/>
      <x:c r="L196" s="550" t="n"/>
      <x:c r="M196" s="550" t="n"/>
      <x:c r="N196" s="550" t="n"/>
      <x:c r="O196" s="545" t="n"/>
      <x:c r="P196" s="545" t="n"/>
      <x:c r="Q196" s="550" t="str">
        <x:f>IF(E196="","",IFERROR(VLOOKUP(E196,'2_Tính giá'!$A$12:$M$51,13,FALSE),""))</x:f>
      </x:c>
      <x:c r="R196" s="550" t="str">
        <x:f>IF(OR(A196="",H196="",Q196=""),"",H196*Q196)</x:f>
      </x:c>
      <x:c r="S196" s="550" t="str">
        <x:f>IF(A196="","",J196+M196-K196-L196)</x:f>
      </x:c>
      <x:c r="T196" s="550" t="str">
        <x:f>IF(A196="","",J196+M196-K196-L196-N196-R196)</x:f>
      </x:c>
      <x:c r="U196" s="545" t="n"/>
      <x:c r="V196" s="545" t="n"/>
    </x:row>
    <x:row r="197">
      <x:c r="A197" s="545" t="n"/>
      <x:c r="B197" s="549" t="n"/>
      <x:c r="C197" s="545" t="n"/>
      <x:c r="D197" s="545" t="n"/>
      <x:c r="E197" s="545" t="n"/>
      <x:c r="F197" s="545" t="n"/>
      <x:c r="G197" s="545" t="n"/>
      <x:c r="H197" s="545" t="n"/>
      <x:c r="I197" s="550" t="n"/>
      <x:c r="J197" s="550" t="str">
        <x:f>IF(A197="","",IFERROR(H197*I197,""))</x:f>
      </x:c>
      <x:c r="K197" s="550" t="n"/>
      <x:c r="L197" s="550" t="n"/>
      <x:c r="M197" s="550" t="n"/>
      <x:c r="N197" s="550" t="n"/>
      <x:c r="O197" s="545" t="n"/>
      <x:c r="P197" s="545" t="n"/>
      <x:c r="Q197" s="550" t="str">
        <x:f>IF(E197="","",IFERROR(VLOOKUP(E197,'2_Tính giá'!$A$12:$M$51,13,FALSE),""))</x:f>
      </x:c>
      <x:c r="R197" s="550" t="str">
        <x:f>IF(OR(A197="",H197="",Q197=""),"",H197*Q197)</x:f>
      </x:c>
      <x:c r="S197" s="550" t="str">
        <x:f>IF(A197="","",J197+M197-K197-L197)</x:f>
      </x:c>
      <x:c r="T197" s="550" t="str">
        <x:f>IF(A197="","",J197+M197-K197-L197-N197-R197)</x:f>
      </x:c>
      <x:c r="U197" s="545" t="n"/>
      <x:c r="V197" s="545" t="n"/>
    </x:row>
    <x:row r="198">
      <x:c r="A198" s="545" t="n"/>
      <x:c r="B198" s="549" t="n"/>
      <x:c r="C198" s="545" t="n"/>
      <x:c r="D198" s="545" t="n"/>
      <x:c r="E198" s="545" t="n"/>
      <x:c r="F198" s="545" t="n"/>
      <x:c r="G198" s="545" t="n"/>
      <x:c r="H198" s="545" t="n"/>
      <x:c r="I198" s="550" t="n"/>
      <x:c r="J198" s="550" t="str">
        <x:f>IF(A198="","",IFERROR(H198*I198,""))</x:f>
      </x:c>
      <x:c r="K198" s="550" t="n"/>
      <x:c r="L198" s="550" t="n"/>
      <x:c r="M198" s="550" t="n"/>
      <x:c r="N198" s="550" t="n"/>
      <x:c r="O198" s="545" t="n"/>
      <x:c r="P198" s="545" t="n"/>
      <x:c r="Q198" s="550" t="str">
        <x:f>IF(E198="","",IFERROR(VLOOKUP(E198,'2_Tính giá'!$A$12:$M$51,13,FALSE),""))</x:f>
      </x:c>
      <x:c r="R198" s="550" t="str">
        <x:f>IF(OR(A198="",H198="",Q198=""),"",H198*Q198)</x:f>
      </x:c>
      <x:c r="S198" s="550" t="str">
        <x:f>IF(A198="","",J198+M198-K198-L198)</x:f>
      </x:c>
      <x:c r="T198" s="550" t="str">
        <x:f>IF(A198="","",J198+M198-K198-L198-N198-R198)</x:f>
      </x:c>
      <x:c r="U198" s="545" t="n"/>
      <x:c r="V198" s="545" t="n"/>
    </x:row>
    <x:row r="199">
      <x:c r="A199" s="545" t="n"/>
      <x:c r="B199" s="549" t="n"/>
      <x:c r="C199" s="545" t="n"/>
      <x:c r="D199" s="545" t="n"/>
      <x:c r="E199" s="545" t="n"/>
      <x:c r="F199" s="545" t="n"/>
      <x:c r="G199" s="545" t="n"/>
      <x:c r="H199" s="545" t="n"/>
      <x:c r="I199" s="550" t="n"/>
      <x:c r="J199" s="550" t="str">
        <x:f>IF(A199="","",IFERROR(H199*I199,""))</x:f>
      </x:c>
      <x:c r="K199" s="550" t="n"/>
      <x:c r="L199" s="550" t="n"/>
      <x:c r="M199" s="550" t="n"/>
      <x:c r="N199" s="550" t="n"/>
      <x:c r="O199" s="545" t="n"/>
      <x:c r="P199" s="545" t="n"/>
      <x:c r="Q199" s="550" t="str">
        <x:f>IF(E199="","",IFERROR(VLOOKUP(E199,'2_Tính giá'!$A$12:$M$51,13,FALSE),""))</x:f>
      </x:c>
      <x:c r="R199" s="550" t="str">
        <x:f>IF(OR(A199="",H199="",Q199=""),"",H199*Q199)</x:f>
      </x:c>
      <x:c r="S199" s="550" t="str">
        <x:f>IF(A199="","",J199+M199-K199-L199)</x:f>
      </x:c>
      <x:c r="T199" s="550" t="str">
        <x:f>IF(A199="","",J199+M199-K199-L199-N199-R199)</x:f>
      </x:c>
      <x:c r="U199" s="545" t="n"/>
      <x:c r="V199" s="545" t="n"/>
    </x:row>
    <x:row r="200">
      <x:c r="A200" s="545" t="n"/>
      <x:c r="B200" s="549" t="n"/>
      <x:c r="C200" s="545" t="n"/>
      <x:c r="D200" s="545" t="n"/>
      <x:c r="E200" s="545" t="n"/>
      <x:c r="F200" s="545" t="n"/>
      <x:c r="G200" s="545" t="n"/>
      <x:c r="H200" s="545" t="n"/>
      <x:c r="I200" s="550" t="n"/>
      <x:c r="J200" s="550" t="str">
        <x:f>IF(A200="","",IFERROR(H200*I200,""))</x:f>
      </x:c>
      <x:c r="K200" s="550" t="n"/>
      <x:c r="L200" s="550" t="n"/>
      <x:c r="M200" s="550" t="n"/>
      <x:c r="N200" s="550" t="n"/>
      <x:c r="O200" s="545" t="n"/>
      <x:c r="P200" s="545" t="n"/>
      <x:c r="Q200" s="550" t="str">
        <x:f>IF(E200="","",IFERROR(VLOOKUP(E200,'2_Tính giá'!$A$12:$M$51,13,FALSE),""))</x:f>
      </x:c>
      <x:c r="R200" s="550" t="str">
        <x:f>IF(OR(A200="",H200="",Q200=""),"",H200*Q200)</x:f>
      </x:c>
      <x:c r="S200" s="550" t="str">
        <x:f>IF(A200="","",J200+M200-K200-L200)</x:f>
      </x:c>
      <x:c r="T200" s="550" t="str">
        <x:f>IF(A200="","",J200+M200-K200-L200-N200-R200)</x:f>
      </x:c>
      <x:c r="U200" s="545" t="n"/>
      <x:c r="V200" s="545" t="n"/>
    </x:row>
    <x:row r="201">
      <x:c r="A201" s="545" t="n"/>
      <x:c r="B201" s="549" t="n"/>
      <x:c r="C201" s="545" t="n"/>
      <x:c r="D201" s="545" t="n"/>
      <x:c r="E201" s="545" t="n"/>
      <x:c r="F201" s="545" t="n"/>
      <x:c r="G201" s="545" t="n"/>
      <x:c r="H201" s="545" t="n"/>
      <x:c r="I201" s="550" t="n"/>
      <x:c r="J201" s="550" t="str">
        <x:f>IF(A201="","",IFERROR(H201*I201,""))</x:f>
      </x:c>
      <x:c r="K201" s="550" t="n"/>
      <x:c r="L201" s="550" t="n"/>
      <x:c r="M201" s="550" t="n"/>
      <x:c r="N201" s="550" t="n"/>
      <x:c r="O201" s="545" t="n"/>
      <x:c r="P201" s="545" t="n"/>
      <x:c r="Q201" s="550" t="str">
        <x:f>IF(E201="","",IFERROR(VLOOKUP(E201,'2_Tính giá'!$A$12:$M$51,13,FALSE),""))</x:f>
      </x:c>
      <x:c r="R201" s="550" t="str">
        <x:f>IF(OR(A201="",H201="",Q201=""),"",H201*Q201)</x:f>
      </x:c>
      <x:c r="S201" s="550" t="str">
        <x:f>IF(A201="","",J201+M201-K201-L201)</x:f>
      </x:c>
      <x:c r="T201" s="550" t="str">
        <x:f>IF(A201="","",J201+M201-K201-L201-N201-R201)</x:f>
      </x:c>
      <x:c r="U201" s="545" t="n"/>
      <x:c r="V201" s="545" t="n"/>
    </x:row>
    <x:row r="202">
      <x:c r="A202" s="545" t="n"/>
      <x:c r="B202" s="549" t="n"/>
      <x:c r="C202" s="545" t="n"/>
      <x:c r="D202" s="545" t="n"/>
      <x:c r="E202" s="545" t="n"/>
      <x:c r="F202" s="545" t="n"/>
      <x:c r="G202" s="545" t="n"/>
      <x:c r="H202" s="545" t="n"/>
      <x:c r="I202" s="550" t="n"/>
      <x:c r="J202" s="550" t="str">
        <x:f>IF(A202="","",IFERROR(H202*I202,""))</x:f>
      </x:c>
      <x:c r="K202" s="550" t="n"/>
      <x:c r="L202" s="550" t="n"/>
      <x:c r="M202" s="550" t="n"/>
      <x:c r="N202" s="550" t="n"/>
      <x:c r="O202" s="545" t="n"/>
      <x:c r="P202" s="545" t="n"/>
      <x:c r="Q202" s="550" t="str">
        <x:f>IF(E202="","",IFERROR(VLOOKUP(E202,'2_Tính giá'!$A$12:$M$51,13,FALSE),""))</x:f>
      </x:c>
      <x:c r="R202" s="550" t="str">
        <x:f>IF(OR(A202="",H202="",Q202=""),"",H202*Q202)</x:f>
      </x:c>
      <x:c r="S202" s="550" t="str">
        <x:f>IF(A202="","",J202+M202-K202-L202)</x:f>
      </x:c>
      <x:c r="T202" s="550" t="str">
        <x:f>IF(A202="","",J202+M202-K202-L202-N202-R202)</x:f>
      </x:c>
      <x:c r="U202" s="545" t="n"/>
      <x:c r="V202" s="545" t="n"/>
    </x:row>
    <x:row r="203">
      <x:c r="A203" s="545" t="n"/>
      <x:c r="B203" s="549" t="n"/>
      <x:c r="C203" s="545" t="n"/>
      <x:c r="D203" s="545" t="n"/>
      <x:c r="E203" s="545" t="n"/>
      <x:c r="F203" s="545" t="n"/>
      <x:c r="G203" s="545" t="n"/>
      <x:c r="H203" s="545" t="n"/>
      <x:c r="I203" s="550" t="n"/>
      <x:c r="J203" s="550" t="str">
        <x:f>IF(A203="","",IFERROR(H203*I203,""))</x:f>
      </x:c>
      <x:c r="K203" s="550" t="n"/>
      <x:c r="L203" s="550" t="n"/>
      <x:c r="M203" s="550" t="n"/>
      <x:c r="N203" s="550" t="n"/>
      <x:c r="O203" s="545" t="n"/>
      <x:c r="P203" s="545" t="n"/>
      <x:c r="Q203" s="550" t="str">
        <x:f>IF(E203="","",IFERROR(VLOOKUP(E203,'2_Tính giá'!$A$12:$M$51,13,FALSE),""))</x:f>
      </x:c>
      <x:c r="R203" s="550" t="str">
        <x:f>IF(OR(A203="",H203="",Q203=""),"",H203*Q203)</x:f>
      </x:c>
      <x:c r="S203" s="550" t="str">
        <x:f>IF(A203="","",J203+M203-K203-L203)</x:f>
      </x:c>
      <x:c r="T203" s="550" t="str">
        <x:f>IF(A203="","",J203+M203-K203-L203-N203-R203)</x:f>
      </x:c>
      <x:c r="U203" s="545" t="n"/>
      <x:c r="V203" s="545" t="n"/>
    </x:row>
    <x:row r="204">
      <x:c r="A204" s="545" t="n"/>
      <x:c r="B204" s="549" t="n"/>
      <x:c r="C204" s="545" t="n"/>
      <x:c r="D204" s="545" t="n"/>
      <x:c r="E204" s="545" t="n"/>
      <x:c r="F204" s="545" t="n"/>
      <x:c r="G204" s="545" t="n"/>
      <x:c r="H204" s="545" t="n"/>
      <x:c r="I204" s="550" t="n"/>
      <x:c r="J204" s="550" t="str">
        <x:f>IF(A204="","",IFERROR(H204*I204,""))</x:f>
      </x:c>
      <x:c r="K204" s="550" t="n"/>
      <x:c r="L204" s="550" t="n"/>
      <x:c r="M204" s="550" t="n"/>
      <x:c r="N204" s="550" t="n"/>
      <x:c r="O204" s="545" t="n"/>
      <x:c r="P204" s="545" t="n"/>
      <x:c r="Q204" s="550" t="str">
        <x:f>IF(E204="","",IFERROR(VLOOKUP(E204,'2_Tính giá'!$A$12:$M$51,13,FALSE),""))</x:f>
      </x:c>
      <x:c r="R204" s="550" t="str">
        <x:f>IF(OR(A204="",H204="",Q204=""),"",H204*Q204)</x:f>
      </x:c>
      <x:c r="S204" s="550" t="str">
        <x:f>IF(A204="","",J204+M204-K204-L204)</x:f>
      </x:c>
      <x:c r="T204" s="550" t="str">
        <x:f>IF(A204="","",J204+M204-K204-L204-N204-R204)</x:f>
      </x:c>
      <x:c r="U204" s="545" t="n"/>
      <x:c r="V204" s="545" t="n"/>
    </x:row>
    <x:row r="205">
      <x:c r="A205" s="545" t="n"/>
      <x:c r="B205" s="549" t="n"/>
      <x:c r="C205" s="545" t="n"/>
      <x:c r="D205" s="545" t="n"/>
      <x:c r="E205" s="545" t="n"/>
      <x:c r="F205" s="545" t="n"/>
      <x:c r="G205" s="545" t="n"/>
      <x:c r="H205" s="545" t="n"/>
      <x:c r="I205" s="550" t="n"/>
      <x:c r="J205" s="550" t="str">
        <x:f>IF(A205="","",IFERROR(H205*I205,""))</x:f>
      </x:c>
      <x:c r="K205" s="550" t="n"/>
      <x:c r="L205" s="550" t="n"/>
      <x:c r="M205" s="550" t="n"/>
      <x:c r="N205" s="550" t="n"/>
      <x:c r="O205" s="545" t="n"/>
      <x:c r="P205" s="545" t="n"/>
      <x:c r="Q205" s="550" t="str">
        <x:f>IF(E205="","",IFERROR(VLOOKUP(E205,'2_Tính giá'!$A$12:$M$51,13,FALSE),""))</x:f>
      </x:c>
      <x:c r="R205" s="550" t="str">
        <x:f>IF(OR(A205="",H205="",Q205=""),"",H205*Q205)</x:f>
      </x:c>
      <x:c r="S205" s="550" t="str">
        <x:f>IF(A205="","",J205+M205-K205-L205)</x:f>
      </x:c>
      <x:c r="T205" s="550" t="str">
        <x:f>IF(A205="","",J205+M205-K205-L205-N205-R205)</x:f>
      </x:c>
      <x:c r="U205" s="545" t="n"/>
      <x:c r="V205" s="545" t="n"/>
    </x:row>
    <x:row r="206">
      <x:c r="A206" s="545" t="n"/>
      <x:c r="B206" s="549" t="n"/>
      <x:c r="C206" s="545" t="n"/>
      <x:c r="D206" s="545" t="n"/>
      <x:c r="E206" s="545" t="n"/>
      <x:c r="F206" s="545" t="n"/>
      <x:c r="G206" s="545" t="n"/>
      <x:c r="H206" s="545" t="n"/>
      <x:c r="I206" s="550" t="n"/>
      <x:c r="J206" s="550" t="str">
        <x:f>IF(A206="","",IFERROR(H206*I206,""))</x:f>
      </x:c>
      <x:c r="K206" s="550" t="n"/>
      <x:c r="L206" s="550" t="n"/>
      <x:c r="M206" s="550" t="n"/>
      <x:c r="N206" s="550" t="n"/>
      <x:c r="O206" s="545" t="n"/>
      <x:c r="P206" s="545" t="n"/>
      <x:c r="Q206" s="550" t="str">
        <x:f>IF(E206="","",IFERROR(VLOOKUP(E206,'2_Tính giá'!$A$12:$M$51,13,FALSE),""))</x:f>
      </x:c>
      <x:c r="R206" s="550" t="str">
        <x:f>IF(OR(A206="",H206="",Q206=""),"",H206*Q206)</x:f>
      </x:c>
      <x:c r="S206" s="550" t="str">
        <x:f>IF(A206="","",J206+M206-K206-L206)</x:f>
      </x:c>
      <x:c r="T206" s="550" t="str">
        <x:f>IF(A206="","",J206+M206-K206-L206-N206-R206)</x:f>
      </x:c>
      <x:c r="U206" s="545" t="n"/>
      <x:c r="V206" s="545" t="n"/>
    </x:row>
    <x:row r="207">
      <x:c r="A207" s="545" t="n"/>
      <x:c r="B207" s="549" t="n"/>
      <x:c r="C207" s="545" t="n"/>
      <x:c r="D207" s="545" t="n"/>
      <x:c r="E207" s="545" t="n"/>
      <x:c r="F207" s="545" t="n"/>
      <x:c r="G207" s="545" t="n"/>
      <x:c r="H207" s="545" t="n"/>
      <x:c r="I207" s="550" t="n"/>
      <x:c r="J207" s="550" t="str">
        <x:f>IF(A207="","",IFERROR(H207*I207,""))</x:f>
      </x:c>
      <x:c r="K207" s="550" t="n"/>
      <x:c r="L207" s="550" t="n"/>
      <x:c r="M207" s="550" t="n"/>
      <x:c r="N207" s="550" t="n"/>
      <x:c r="O207" s="545" t="n"/>
      <x:c r="P207" s="545" t="n"/>
      <x:c r="Q207" s="550" t="str">
        <x:f>IF(E207="","",IFERROR(VLOOKUP(E207,'2_Tính giá'!$A$12:$M$51,13,FALSE),""))</x:f>
      </x:c>
      <x:c r="R207" s="550" t="str">
        <x:f>IF(OR(A207="",H207="",Q207=""),"",H207*Q207)</x:f>
      </x:c>
      <x:c r="S207" s="550" t="str">
        <x:f>IF(A207="","",J207+M207-K207-L207)</x:f>
      </x:c>
      <x:c r="T207" s="550" t="str">
        <x:f>IF(A207="","",J207+M207-K207-L207-N207-R207)</x:f>
      </x:c>
      <x:c r="U207" s="545" t="n"/>
      <x:c r="V207" s="545" t="n"/>
    </x:row>
    <x:row r="208">
      <x:c r="A208" s="545" t="n"/>
      <x:c r="B208" s="549" t="n"/>
      <x:c r="C208" s="545" t="n"/>
      <x:c r="D208" s="545" t="n"/>
      <x:c r="E208" s="545" t="n"/>
      <x:c r="F208" s="545" t="n"/>
      <x:c r="G208" s="545" t="n"/>
      <x:c r="H208" s="545" t="n"/>
      <x:c r="I208" s="550" t="n"/>
      <x:c r="J208" s="550" t="str">
        <x:f>IF(A208="","",IFERROR(H208*I208,""))</x:f>
      </x:c>
      <x:c r="K208" s="550" t="n"/>
      <x:c r="L208" s="550" t="n"/>
      <x:c r="M208" s="550" t="n"/>
      <x:c r="N208" s="550" t="n"/>
      <x:c r="O208" s="545" t="n"/>
      <x:c r="P208" s="545" t="n"/>
      <x:c r="Q208" s="550" t="str">
        <x:f>IF(E208="","",IFERROR(VLOOKUP(E208,'2_Tính giá'!$A$12:$M$51,13,FALSE),""))</x:f>
      </x:c>
      <x:c r="R208" s="550" t="str">
        <x:f>IF(OR(A208="",H208="",Q208=""),"",H208*Q208)</x:f>
      </x:c>
      <x:c r="S208" s="550" t="str">
        <x:f>IF(A208="","",J208+M208-K208-L208)</x:f>
      </x:c>
      <x:c r="T208" s="550" t="str">
        <x:f>IF(A208="","",J208+M208-K208-L208-N208-R208)</x:f>
      </x:c>
      <x:c r="U208" s="545" t="n"/>
      <x:c r="V208" s="545" t="n"/>
    </x:row>
    <x:row r="209">
      <x:c r="A209" s="545" t="n"/>
      <x:c r="B209" s="549" t="n"/>
      <x:c r="C209" s="545" t="n"/>
      <x:c r="D209" s="545" t="n"/>
      <x:c r="E209" s="545" t="n"/>
      <x:c r="F209" s="545" t="n"/>
      <x:c r="G209" s="545" t="n"/>
      <x:c r="H209" s="545" t="n"/>
      <x:c r="I209" s="550" t="n"/>
      <x:c r="J209" s="550" t="str">
        <x:f>IF(A209="","",IFERROR(H209*I209,""))</x:f>
      </x:c>
      <x:c r="K209" s="550" t="n"/>
      <x:c r="L209" s="550" t="n"/>
      <x:c r="M209" s="550" t="n"/>
      <x:c r="N209" s="550" t="n"/>
      <x:c r="O209" s="545" t="n"/>
      <x:c r="P209" s="545" t="n"/>
      <x:c r="Q209" s="550" t="str">
        <x:f>IF(E209="","",IFERROR(VLOOKUP(E209,'2_Tính giá'!$A$12:$M$51,13,FALSE),""))</x:f>
      </x:c>
      <x:c r="R209" s="550" t="str">
        <x:f>IF(OR(A209="",H209="",Q209=""),"",H209*Q209)</x:f>
      </x:c>
      <x:c r="S209" s="550" t="str">
        <x:f>IF(A209="","",J209+M209-K209-L209)</x:f>
      </x:c>
      <x:c r="T209" s="550" t="str">
        <x:f>IF(A209="","",J209+M209-K209-L209-N209-R209)</x:f>
      </x:c>
      <x:c r="U209" s="545" t="n"/>
      <x:c r="V209" s="545" t="n"/>
    </x:row>
    <x:row r="210">
      <x:c r="A210" s="545" t="n"/>
      <x:c r="B210" s="549" t="n"/>
      <x:c r="C210" s="545" t="n"/>
      <x:c r="D210" s="545" t="n"/>
      <x:c r="E210" s="545" t="n"/>
      <x:c r="F210" s="545" t="n"/>
      <x:c r="G210" s="545" t="n"/>
      <x:c r="H210" s="545" t="n"/>
      <x:c r="I210" s="550" t="n"/>
      <x:c r="J210" s="550" t="str">
        <x:f>IF(A210="","",IFERROR(H210*I210,""))</x:f>
      </x:c>
      <x:c r="K210" s="550" t="n"/>
      <x:c r="L210" s="550" t="n"/>
      <x:c r="M210" s="550" t="n"/>
      <x:c r="N210" s="550" t="n"/>
      <x:c r="O210" s="545" t="n"/>
      <x:c r="P210" s="545" t="n"/>
      <x:c r="Q210" s="550" t="str">
        <x:f>IF(E210="","",IFERROR(VLOOKUP(E210,'2_Tính giá'!$A$12:$M$51,13,FALSE),""))</x:f>
      </x:c>
      <x:c r="R210" s="550" t="str">
        <x:f>IF(OR(A210="",H210="",Q210=""),"",H210*Q210)</x:f>
      </x:c>
      <x:c r="S210" s="550" t="str">
        <x:f>IF(A210="","",J210+M210-K210-L210)</x:f>
      </x:c>
      <x:c r="T210" s="550" t="str">
        <x:f>IF(A210="","",J210+M210-K210-L210-N210-R210)</x:f>
      </x:c>
      <x:c r="U210" s="545" t="n"/>
      <x:c r="V210" s="545" t="n"/>
    </x:row>
    <x:row r="211">
      <x:c r="A211" s="545" t="n"/>
      <x:c r="B211" s="549" t="n"/>
      <x:c r="C211" s="545" t="n"/>
      <x:c r="D211" s="545" t="n"/>
      <x:c r="E211" s="545" t="n"/>
      <x:c r="F211" s="545" t="n"/>
      <x:c r="G211" s="545" t="n"/>
      <x:c r="H211" s="545" t="n"/>
      <x:c r="I211" s="550" t="n"/>
      <x:c r="J211" s="550" t="str">
        <x:f>IF(A211="","",IFERROR(H211*I211,""))</x:f>
      </x:c>
      <x:c r="K211" s="550" t="n"/>
      <x:c r="L211" s="550" t="n"/>
      <x:c r="M211" s="550" t="n"/>
      <x:c r="N211" s="550" t="n"/>
      <x:c r="O211" s="545" t="n"/>
      <x:c r="P211" s="545" t="n"/>
      <x:c r="Q211" s="550" t="str">
        <x:f>IF(E211="","",IFERROR(VLOOKUP(E211,'2_Tính giá'!$A$12:$M$51,13,FALSE),""))</x:f>
      </x:c>
      <x:c r="R211" s="550" t="str">
        <x:f>IF(OR(A211="",H211="",Q211=""),"",H211*Q211)</x:f>
      </x:c>
      <x:c r="S211" s="550" t="str">
        <x:f>IF(A211="","",J211+M211-K211-L211)</x:f>
      </x:c>
      <x:c r="T211" s="550" t="str">
        <x:f>IF(A211="","",J211+M211-K211-L211-N211-R211)</x:f>
      </x:c>
      <x:c r="U211" s="545" t="n"/>
      <x:c r="V211" s="545" t="n"/>
    </x:row>
    <x:row r="212">
      <x:c r="A212" s="545" t="n"/>
      <x:c r="B212" s="549" t="n"/>
      <x:c r="C212" s="545" t="n"/>
      <x:c r="D212" s="545" t="n"/>
      <x:c r="E212" s="545" t="n"/>
      <x:c r="F212" s="545" t="n"/>
      <x:c r="G212" s="545" t="n"/>
      <x:c r="H212" s="545" t="n"/>
      <x:c r="I212" s="550" t="n"/>
      <x:c r="J212" s="550" t="str">
        <x:f>IF(A212="","",IFERROR(H212*I212,""))</x:f>
      </x:c>
      <x:c r="K212" s="550" t="n"/>
      <x:c r="L212" s="550" t="n"/>
      <x:c r="M212" s="550" t="n"/>
      <x:c r="N212" s="550" t="n"/>
      <x:c r="O212" s="545" t="n"/>
      <x:c r="P212" s="545" t="n"/>
      <x:c r="Q212" s="550" t="str">
        <x:f>IF(E212="","",IFERROR(VLOOKUP(E212,'2_Tính giá'!$A$12:$M$51,13,FALSE),""))</x:f>
      </x:c>
      <x:c r="R212" s="550" t="str">
        <x:f>IF(OR(A212="",H212="",Q212=""),"",H212*Q212)</x:f>
      </x:c>
      <x:c r="S212" s="550" t="str">
        <x:f>IF(A212="","",J212+M212-K212-L212)</x:f>
      </x:c>
      <x:c r="T212" s="550" t="str">
        <x:f>IF(A212="","",J212+M212-K212-L212-N212-R212)</x:f>
      </x:c>
      <x:c r="U212" s="545" t="n"/>
      <x:c r="V212" s="545" t="n"/>
    </x:row>
    <x:row r="213">
      <x:c r="A213" s="545" t="n"/>
      <x:c r="B213" s="549" t="n"/>
      <x:c r="C213" s="545" t="n"/>
      <x:c r="D213" s="545" t="n"/>
      <x:c r="E213" s="545" t="n"/>
      <x:c r="F213" s="545" t="n"/>
      <x:c r="G213" s="545" t="n"/>
      <x:c r="H213" s="545" t="n"/>
      <x:c r="I213" s="550" t="n"/>
      <x:c r="J213" s="550" t="str">
        <x:f>IF(A213="","",IFERROR(H213*I213,""))</x:f>
      </x:c>
      <x:c r="K213" s="550" t="n"/>
      <x:c r="L213" s="550" t="n"/>
      <x:c r="M213" s="550" t="n"/>
      <x:c r="N213" s="550" t="n"/>
      <x:c r="O213" s="545" t="n"/>
      <x:c r="P213" s="545" t="n"/>
      <x:c r="Q213" s="550" t="str">
        <x:f>IF(E213="","",IFERROR(VLOOKUP(E213,'2_Tính giá'!$A$12:$M$51,13,FALSE),""))</x:f>
      </x:c>
      <x:c r="R213" s="550" t="str">
        <x:f>IF(OR(A213="",H213="",Q213=""),"",H213*Q213)</x:f>
      </x:c>
      <x:c r="S213" s="550" t="str">
        <x:f>IF(A213="","",J213+M213-K213-L213)</x:f>
      </x:c>
      <x:c r="T213" s="550" t="str">
        <x:f>IF(A213="","",J213+M213-K213-L213-N213-R213)</x:f>
      </x:c>
      <x:c r="U213" s="545" t="n"/>
      <x:c r="V213" s="545" t="n"/>
    </x:row>
    <x:row r="214">
      <x:c r="A214" s="545" t="n"/>
      <x:c r="B214" s="549" t="n"/>
      <x:c r="C214" s="545" t="n"/>
      <x:c r="D214" s="545" t="n"/>
      <x:c r="E214" s="545" t="n"/>
      <x:c r="F214" s="545" t="n"/>
      <x:c r="G214" s="545" t="n"/>
      <x:c r="H214" s="545" t="n"/>
      <x:c r="I214" s="550" t="n"/>
      <x:c r="J214" s="550" t="str">
        <x:f>IF(A214="","",IFERROR(H214*I214,""))</x:f>
      </x:c>
      <x:c r="K214" s="550" t="n"/>
      <x:c r="L214" s="550" t="n"/>
      <x:c r="M214" s="550" t="n"/>
      <x:c r="N214" s="550" t="n"/>
      <x:c r="O214" s="545" t="n"/>
      <x:c r="P214" s="545" t="n"/>
      <x:c r="Q214" s="550" t="str">
        <x:f>IF(E214="","",IFERROR(VLOOKUP(E214,'2_Tính giá'!$A$12:$M$51,13,FALSE),""))</x:f>
      </x:c>
      <x:c r="R214" s="550" t="str">
        <x:f>IF(OR(A214="",H214="",Q214=""),"",H214*Q214)</x:f>
      </x:c>
      <x:c r="S214" s="550" t="str">
        <x:f>IF(A214="","",J214+M214-K214-L214)</x:f>
      </x:c>
      <x:c r="T214" s="550" t="str">
        <x:f>IF(A214="","",J214+M214-K214-L214-N214-R214)</x:f>
      </x:c>
      <x:c r="U214" s="545" t="n"/>
      <x:c r="V214" s="545" t="n"/>
    </x:row>
    <x:row r="215">
      <x:c r="A215" s="545" t="n"/>
      <x:c r="B215" s="549" t="n"/>
      <x:c r="C215" s="545" t="n"/>
      <x:c r="D215" s="545" t="n"/>
      <x:c r="E215" s="545" t="n"/>
      <x:c r="F215" s="545" t="n"/>
      <x:c r="G215" s="545" t="n"/>
      <x:c r="H215" s="545" t="n"/>
      <x:c r="I215" s="550" t="n"/>
      <x:c r="J215" s="550" t="str">
        <x:f>IF(A215="","",IFERROR(H215*I215,""))</x:f>
      </x:c>
      <x:c r="K215" s="550" t="n"/>
      <x:c r="L215" s="550" t="n"/>
      <x:c r="M215" s="550" t="n"/>
      <x:c r="N215" s="550" t="n"/>
      <x:c r="O215" s="545" t="n"/>
      <x:c r="P215" s="545" t="n"/>
      <x:c r="Q215" s="550" t="str">
        <x:f>IF(E215="","",IFERROR(VLOOKUP(E215,'2_Tính giá'!$A$12:$M$51,13,FALSE),""))</x:f>
      </x:c>
      <x:c r="R215" s="550" t="str">
        <x:f>IF(OR(A215="",H215="",Q215=""),"",H215*Q215)</x:f>
      </x:c>
      <x:c r="S215" s="550" t="str">
        <x:f>IF(A215="","",J215+M215-K215-L215)</x:f>
      </x:c>
      <x:c r="T215" s="550" t="str">
        <x:f>IF(A215="","",J215+M215-K215-L215-N215-R215)</x:f>
      </x:c>
      <x:c r="U215" s="545" t="n"/>
      <x:c r="V215" s="545" t="n"/>
    </x:row>
    <x:row r="216">
      <x:c r="A216" s="545" t="n"/>
      <x:c r="B216" s="549" t="n"/>
      <x:c r="C216" s="545" t="n"/>
      <x:c r="D216" s="545" t="n"/>
      <x:c r="E216" s="545" t="n"/>
      <x:c r="F216" s="545" t="n"/>
      <x:c r="G216" s="545" t="n"/>
      <x:c r="H216" s="545" t="n"/>
      <x:c r="I216" s="550" t="n"/>
      <x:c r="J216" s="550" t="str">
        <x:f>IF(A216="","",IFERROR(H216*I216,""))</x:f>
      </x:c>
      <x:c r="K216" s="550" t="n"/>
      <x:c r="L216" s="550" t="n"/>
      <x:c r="M216" s="550" t="n"/>
      <x:c r="N216" s="550" t="n"/>
      <x:c r="O216" s="545" t="n"/>
      <x:c r="P216" s="545" t="n"/>
      <x:c r="Q216" s="550" t="str">
        <x:f>IF(E216="","",IFERROR(VLOOKUP(E216,'2_Tính giá'!$A$12:$M$51,13,FALSE),""))</x:f>
      </x:c>
      <x:c r="R216" s="550" t="str">
        <x:f>IF(OR(A216="",H216="",Q216=""),"",H216*Q216)</x:f>
      </x:c>
      <x:c r="S216" s="550" t="str">
        <x:f>IF(A216="","",J216+M216-K216-L216)</x:f>
      </x:c>
      <x:c r="T216" s="550" t="str">
        <x:f>IF(A216="","",J216+M216-K216-L216-N216-R216)</x:f>
      </x:c>
      <x:c r="U216" s="545" t="n"/>
      <x:c r="V216" s="545" t="n"/>
    </x:row>
    <x:row r="217">
      <x:c r="A217" s="545" t="n"/>
      <x:c r="B217" s="549" t="n"/>
      <x:c r="C217" s="545" t="n"/>
      <x:c r="D217" s="545" t="n"/>
      <x:c r="E217" s="545" t="n"/>
      <x:c r="F217" s="545" t="n"/>
      <x:c r="G217" s="545" t="n"/>
      <x:c r="H217" s="545" t="n"/>
      <x:c r="I217" s="550" t="n"/>
      <x:c r="J217" s="550" t="str">
        <x:f>IF(A217="","",IFERROR(H217*I217,""))</x:f>
      </x:c>
      <x:c r="K217" s="550" t="n"/>
      <x:c r="L217" s="550" t="n"/>
      <x:c r="M217" s="550" t="n"/>
      <x:c r="N217" s="550" t="n"/>
      <x:c r="O217" s="545" t="n"/>
      <x:c r="P217" s="545" t="n"/>
      <x:c r="Q217" s="550" t="str">
        <x:f>IF(E217="","",IFERROR(VLOOKUP(E217,'2_Tính giá'!$A$12:$M$51,13,FALSE),""))</x:f>
      </x:c>
      <x:c r="R217" s="550" t="str">
        <x:f>IF(OR(A217="",H217="",Q217=""),"",H217*Q217)</x:f>
      </x:c>
      <x:c r="S217" s="550" t="str">
        <x:f>IF(A217="","",J217+M217-K217-L217)</x:f>
      </x:c>
      <x:c r="T217" s="550" t="str">
        <x:f>IF(A217="","",J217+M217-K217-L217-N217-R217)</x:f>
      </x:c>
      <x:c r="U217" s="545" t="n"/>
      <x:c r="V217" s="545" t="n"/>
    </x:row>
    <x:row r="218">
      <x:c r="A218" s="545" t="n"/>
      <x:c r="B218" s="549" t="n"/>
      <x:c r="C218" s="545" t="n"/>
      <x:c r="D218" s="545" t="n"/>
      <x:c r="E218" s="545" t="n"/>
      <x:c r="F218" s="545" t="n"/>
      <x:c r="G218" s="545" t="n"/>
      <x:c r="H218" s="545" t="n"/>
      <x:c r="I218" s="550" t="n"/>
      <x:c r="J218" s="550" t="str">
        <x:f>IF(A218="","",IFERROR(H218*I218,""))</x:f>
      </x:c>
      <x:c r="K218" s="550" t="n"/>
      <x:c r="L218" s="550" t="n"/>
      <x:c r="M218" s="550" t="n"/>
      <x:c r="N218" s="550" t="n"/>
      <x:c r="O218" s="545" t="n"/>
      <x:c r="P218" s="545" t="n"/>
      <x:c r="Q218" s="550" t="str">
        <x:f>IF(E218="","",IFERROR(VLOOKUP(E218,'2_Tính giá'!$A$12:$M$51,13,FALSE),""))</x:f>
      </x:c>
      <x:c r="R218" s="550" t="str">
        <x:f>IF(OR(A218="",H218="",Q218=""),"",H218*Q218)</x:f>
      </x:c>
      <x:c r="S218" s="550" t="str">
        <x:f>IF(A218="","",J218+M218-K218-L218)</x:f>
      </x:c>
      <x:c r="T218" s="550" t="str">
        <x:f>IF(A218="","",J218+M218-K218-L218-N218-R218)</x:f>
      </x:c>
      <x:c r="U218" s="545" t="n"/>
      <x:c r="V218" s="545" t="n"/>
    </x:row>
    <x:row r="219">
      <x:c r="A219" s="545" t="n"/>
      <x:c r="B219" s="549" t="n"/>
      <x:c r="C219" s="545" t="n"/>
      <x:c r="D219" s="545" t="n"/>
      <x:c r="E219" s="545" t="n"/>
      <x:c r="F219" s="545" t="n"/>
      <x:c r="G219" s="545" t="n"/>
      <x:c r="H219" s="545" t="n"/>
      <x:c r="I219" s="550" t="n"/>
      <x:c r="J219" s="550" t="str">
        <x:f>IF(A219="","",IFERROR(H219*I219,""))</x:f>
      </x:c>
      <x:c r="K219" s="550" t="n"/>
      <x:c r="L219" s="550" t="n"/>
      <x:c r="M219" s="550" t="n"/>
      <x:c r="N219" s="550" t="n"/>
      <x:c r="O219" s="545" t="n"/>
      <x:c r="P219" s="545" t="n"/>
      <x:c r="Q219" s="550" t="str">
        <x:f>IF(E219="","",IFERROR(VLOOKUP(E219,'2_Tính giá'!$A$12:$M$51,13,FALSE),""))</x:f>
      </x:c>
      <x:c r="R219" s="550" t="str">
        <x:f>IF(OR(A219="",H219="",Q219=""),"",H219*Q219)</x:f>
      </x:c>
      <x:c r="S219" s="550" t="str">
        <x:f>IF(A219="","",J219+M219-K219-L219)</x:f>
      </x:c>
      <x:c r="T219" s="550" t="str">
        <x:f>IF(A219="","",J219+M219-K219-L219-N219-R219)</x:f>
      </x:c>
      <x:c r="U219" s="545" t="n"/>
      <x:c r="V219" s="545" t="n"/>
    </x:row>
    <x:row r="220">
      <x:c r="A220" s="545" t="n"/>
      <x:c r="B220" s="549" t="n"/>
      <x:c r="C220" s="545" t="n"/>
      <x:c r="D220" s="545" t="n"/>
      <x:c r="E220" s="545" t="n"/>
      <x:c r="F220" s="545" t="n"/>
      <x:c r="G220" s="545" t="n"/>
      <x:c r="H220" s="545" t="n"/>
      <x:c r="I220" s="550" t="n"/>
      <x:c r="J220" s="550" t="str">
        <x:f>IF(A220="","",IFERROR(H220*I220,""))</x:f>
      </x:c>
      <x:c r="K220" s="550" t="n"/>
      <x:c r="L220" s="550" t="n"/>
      <x:c r="M220" s="550" t="n"/>
      <x:c r="N220" s="550" t="n"/>
      <x:c r="O220" s="545" t="n"/>
      <x:c r="P220" s="545" t="n"/>
      <x:c r="Q220" s="550" t="str">
        <x:f>IF(E220="","",IFERROR(VLOOKUP(E220,'2_Tính giá'!$A$12:$M$51,13,FALSE),""))</x:f>
      </x:c>
      <x:c r="R220" s="550" t="str">
        <x:f>IF(OR(A220="",H220="",Q220=""),"",H220*Q220)</x:f>
      </x:c>
      <x:c r="S220" s="550" t="str">
        <x:f>IF(A220="","",J220+M220-K220-L220)</x:f>
      </x:c>
      <x:c r="T220" s="550" t="str">
        <x:f>IF(A220="","",J220+M220-K220-L220-N220-R220)</x:f>
      </x:c>
      <x:c r="U220" s="545" t="n"/>
      <x:c r="V220" s="545" t="n"/>
    </x:row>
    <x:row r="221">
      <x:c r="A221" s="545" t="n"/>
      <x:c r="B221" s="549" t="n"/>
      <x:c r="C221" s="545" t="n"/>
      <x:c r="D221" s="545" t="n"/>
      <x:c r="E221" s="545" t="n"/>
      <x:c r="F221" s="545" t="n"/>
      <x:c r="G221" s="545" t="n"/>
      <x:c r="H221" s="545" t="n"/>
      <x:c r="I221" s="550" t="n"/>
      <x:c r="J221" s="550" t="str">
        <x:f>IF(A221="","",IFERROR(H221*I221,""))</x:f>
      </x:c>
      <x:c r="K221" s="550" t="n"/>
      <x:c r="L221" s="550" t="n"/>
      <x:c r="M221" s="550" t="n"/>
      <x:c r="N221" s="550" t="n"/>
      <x:c r="O221" s="545" t="n"/>
      <x:c r="P221" s="545" t="n"/>
      <x:c r="Q221" s="550" t="str">
        <x:f>IF(E221="","",IFERROR(VLOOKUP(E221,'2_Tính giá'!$A$12:$M$51,13,FALSE),""))</x:f>
      </x:c>
      <x:c r="R221" s="550" t="str">
        <x:f>IF(OR(A221="",H221="",Q221=""),"",H221*Q221)</x:f>
      </x:c>
      <x:c r="S221" s="550" t="str">
        <x:f>IF(A221="","",J221+M221-K221-L221)</x:f>
      </x:c>
      <x:c r="T221" s="550" t="str">
        <x:f>IF(A221="","",J221+M221-K221-L221-N221-R221)</x:f>
      </x:c>
      <x:c r="U221" s="545" t="n"/>
      <x:c r="V221" s="545" t="n"/>
    </x:row>
    <x:row r="222">
      <x:c r="A222" s="545" t="n"/>
      <x:c r="B222" s="549" t="n"/>
      <x:c r="C222" s="545" t="n"/>
      <x:c r="D222" s="545" t="n"/>
      <x:c r="E222" s="545" t="n"/>
      <x:c r="F222" s="545" t="n"/>
      <x:c r="G222" s="545" t="n"/>
      <x:c r="H222" s="545" t="n"/>
      <x:c r="I222" s="550" t="n"/>
      <x:c r="J222" s="550" t="str">
        <x:f>IF(A222="","",IFERROR(H222*I222,""))</x:f>
      </x:c>
      <x:c r="K222" s="550" t="n"/>
      <x:c r="L222" s="550" t="n"/>
      <x:c r="M222" s="550" t="n"/>
      <x:c r="N222" s="550" t="n"/>
      <x:c r="O222" s="545" t="n"/>
      <x:c r="P222" s="545" t="n"/>
      <x:c r="Q222" s="550" t="str">
        <x:f>IF(E222="","",IFERROR(VLOOKUP(E222,'2_Tính giá'!$A$12:$M$51,13,FALSE),""))</x:f>
      </x:c>
      <x:c r="R222" s="550" t="str">
        <x:f>IF(OR(A222="",H222="",Q222=""),"",H222*Q222)</x:f>
      </x:c>
      <x:c r="S222" s="550" t="str">
        <x:f>IF(A222="","",J222+M222-K222-L222)</x:f>
      </x:c>
      <x:c r="T222" s="550" t="str">
        <x:f>IF(A222="","",J222+M222-K222-L222-N222-R222)</x:f>
      </x:c>
      <x:c r="U222" s="545" t="n"/>
      <x:c r="V222" s="545" t="n"/>
    </x:row>
    <x:row r="223">
      <x:c r="A223" s="545" t="n"/>
      <x:c r="B223" s="549" t="n"/>
      <x:c r="C223" s="545" t="n"/>
      <x:c r="D223" s="545" t="n"/>
      <x:c r="E223" s="545" t="n"/>
      <x:c r="F223" s="545" t="n"/>
      <x:c r="G223" s="545" t="n"/>
      <x:c r="H223" s="545" t="n"/>
      <x:c r="I223" s="550" t="n"/>
      <x:c r="J223" s="550" t="str">
        <x:f>IF(A223="","",IFERROR(H223*I223,""))</x:f>
      </x:c>
      <x:c r="K223" s="550" t="n"/>
      <x:c r="L223" s="550" t="n"/>
      <x:c r="M223" s="550" t="n"/>
      <x:c r="N223" s="550" t="n"/>
      <x:c r="O223" s="545" t="n"/>
      <x:c r="P223" s="545" t="n"/>
      <x:c r="Q223" s="550" t="str">
        <x:f>IF(E223="","",IFERROR(VLOOKUP(E223,'2_Tính giá'!$A$12:$M$51,13,FALSE),""))</x:f>
      </x:c>
      <x:c r="R223" s="550" t="str">
        <x:f>IF(OR(A223="",H223="",Q223=""),"",H223*Q223)</x:f>
      </x:c>
      <x:c r="S223" s="550" t="str">
        <x:f>IF(A223="","",J223+M223-K223-L223)</x:f>
      </x:c>
      <x:c r="T223" s="550" t="str">
        <x:f>IF(A223="","",J223+M223-K223-L223-N223-R223)</x:f>
      </x:c>
      <x:c r="U223" s="545" t="n"/>
      <x:c r="V223" s="545" t="n"/>
    </x:row>
    <x:row r="224">
      <x:c r="A224" s="545" t="n"/>
      <x:c r="B224" s="549" t="n"/>
      <x:c r="C224" s="545" t="n"/>
      <x:c r="D224" s="545" t="n"/>
      <x:c r="E224" s="545" t="n"/>
      <x:c r="F224" s="545" t="n"/>
      <x:c r="G224" s="545" t="n"/>
      <x:c r="H224" s="545" t="n"/>
      <x:c r="I224" s="550" t="n"/>
      <x:c r="J224" s="550" t="str">
        <x:f>IF(A224="","",IFERROR(H224*I224,""))</x:f>
      </x:c>
      <x:c r="K224" s="550" t="n"/>
      <x:c r="L224" s="550" t="n"/>
      <x:c r="M224" s="550" t="n"/>
      <x:c r="N224" s="550" t="n"/>
      <x:c r="O224" s="545" t="n"/>
      <x:c r="P224" s="545" t="n"/>
      <x:c r="Q224" s="550" t="str">
        <x:f>IF(E224="","",IFERROR(VLOOKUP(E224,'2_Tính giá'!$A$12:$M$51,13,FALSE),""))</x:f>
      </x:c>
      <x:c r="R224" s="550" t="str">
        <x:f>IF(OR(A224="",H224="",Q224=""),"",H224*Q224)</x:f>
      </x:c>
      <x:c r="S224" s="550" t="str">
        <x:f>IF(A224="","",J224+M224-K224-L224)</x:f>
      </x:c>
      <x:c r="T224" s="550" t="str">
        <x:f>IF(A224="","",J224+M224-K224-L224-N224-R224)</x:f>
      </x:c>
      <x:c r="U224" s="545" t="n"/>
      <x:c r="V224" s="545" t="n"/>
    </x:row>
    <x:row r="225">
      <x:c r="A225" s="545" t="n"/>
      <x:c r="B225" s="549" t="n"/>
      <x:c r="C225" s="545" t="n"/>
      <x:c r="D225" s="545" t="n"/>
      <x:c r="E225" s="545" t="n"/>
      <x:c r="F225" s="545" t="n"/>
      <x:c r="G225" s="545" t="n"/>
      <x:c r="H225" s="545" t="n"/>
      <x:c r="I225" s="550" t="n"/>
      <x:c r="J225" s="550" t="str">
        <x:f>IF(A225="","",IFERROR(H225*I225,""))</x:f>
      </x:c>
      <x:c r="K225" s="550" t="n"/>
      <x:c r="L225" s="550" t="n"/>
      <x:c r="M225" s="550" t="n"/>
      <x:c r="N225" s="550" t="n"/>
      <x:c r="O225" s="545" t="n"/>
      <x:c r="P225" s="545" t="n"/>
      <x:c r="Q225" s="550" t="str">
        <x:f>IF(E225="","",IFERROR(VLOOKUP(E225,'2_Tính giá'!$A$12:$M$51,13,FALSE),""))</x:f>
      </x:c>
      <x:c r="R225" s="550" t="str">
        <x:f>IF(OR(A225="",H225="",Q225=""),"",H225*Q225)</x:f>
      </x:c>
      <x:c r="S225" s="550" t="str">
        <x:f>IF(A225="","",J225+M225-K225-L225)</x:f>
      </x:c>
      <x:c r="T225" s="550" t="str">
        <x:f>IF(A225="","",J225+M225-K225-L225-N225-R225)</x:f>
      </x:c>
      <x:c r="U225" s="545" t="n"/>
      <x:c r="V225" s="545" t="n"/>
    </x:row>
    <x:row r="226">
      <x:c r="A226" s="545" t="n"/>
      <x:c r="B226" s="549" t="n"/>
      <x:c r="C226" s="545" t="n"/>
      <x:c r="D226" s="545" t="n"/>
      <x:c r="E226" s="545" t="n"/>
      <x:c r="F226" s="545" t="n"/>
      <x:c r="G226" s="545" t="n"/>
      <x:c r="H226" s="545" t="n"/>
      <x:c r="I226" s="550" t="n"/>
      <x:c r="J226" s="550" t="str">
        <x:f>IF(A226="","",IFERROR(H226*I226,""))</x:f>
      </x:c>
      <x:c r="K226" s="550" t="n"/>
      <x:c r="L226" s="550" t="n"/>
      <x:c r="M226" s="550" t="n"/>
      <x:c r="N226" s="550" t="n"/>
      <x:c r="O226" s="545" t="n"/>
      <x:c r="P226" s="545" t="n"/>
      <x:c r="Q226" s="550" t="str">
        <x:f>IF(E226="","",IFERROR(VLOOKUP(E226,'2_Tính giá'!$A$12:$M$51,13,FALSE),""))</x:f>
      </x:c>
      <x:c r="R226" s="550" t="str">
        <x:f>IF(OR(A226="",H226="",Q226=""),"",H226*Q226)</x:f>
      </x:c>
      <x:c r="S226" s="550" t="str">
        <x:f>IF(A226="","",J226+M226-K226-L226)</x:f>
      </x:c>
      <x:c r="T226" s="550" t="str">
        <x:f>IF(A226="","",J226+M226-K226-L226-N226-R226)</x:f>
      </x:c>
      <x:c r="U226" s="545" t="n"/>
      <x:c r="V226" s="545" t="n"/>
    </x:row>
    <x:row r="227">
      <x:c r="A227" s="545" t="n"/>
      <x:c r="B227" s="549" t="n"/>
      <x:c r="C227" s="545" t="n"/>
      <x:c r="D227" s="545" t="n"/>
      <x:c r="E227" s="545" t="n"/>
      <x:c r="F227" s="545" t="n"/>
      <x:c r="G227" s="545" t="n"/>
      <x:c r="H227" s="545" t="n"/>
      <x:c r="I227" s="550" t="n"/>
      <x:c r="J227" s="550" t="str">
        <x:f>IF(A227="","",IFERROR(H227*I227,""))</x:f>
      </x:c>
      <x:c r="K227" s="550" t="n"/>
      <x:c r="L227" s="550" t="n"/>
      <x:c r="M227" s="550" t="n"/>
      <x:c r="N227" s="550" t="n"/>
      <x:c r="O227" s="545" t="n"/>
      <x:c r="P227" s="545" t="n"/>
      <x:c r="Q227" s="550" t="str">
        <x:f>IF(E227="","",IFERROR(VLOOKUP(E227,'2_Tính giá'!$A$12:$M$51,13,FALSE),""))</x:f>
      </x:c>
      <x:c r="R227" s="550" t="str">
        <x:f>IF(OR(A227="",H227="",Q227=""),"",H227*Q227)</x:f>
      </x:c>
      <x:c r="S227" s="550" t="str">
        <x:f>IF(A227="","",J227+M227-K227-L227)</x:f>
      </x:c>
      <x:c r="T227" s="550" t="str">
        <x:f>IF(A227="","",J227+M227-K227-L227-N227-R227)</x:f>
      </x:c>
      <x:c r="U227" s="545" t="n"/>
      <x:c r="V227" s="545" t="n"/>
    </x:row>
    <x:row r="228">
      <x:c r="A228" s="545" t="n"/>
      <x:c r="B228" s="549" t="n"/>
      <x:c r="C228" s="545" t="n"/>
      <x:c r="D228" s="545" t="n"/>
      <x:c r="E228" s="545" t="n"/>
      <x:c r="F228" s="545" t="n"/>
      <x:c r="G228" s="545" t="n"/>
      <x:c r="H228" s="545" t="n"/>
      <x:c r="I228" s="550" t="n"/>
      <x:c r="J228" s="550" t="str">
        <x:f>IF(A228="","",IFERROR(H228*I228,""))</x:f>
      </x:c>
      <x:c r="K228" s="550" t="n"/>
      <x:c r="L228" s="550" t="n"/>
      <x:c r="M228" s="550" t="n"/>
      <x:c r="N228" s="550" t="n"/>
      <x:c r="O228" s="545" t="n"/>
      <x:c r="P228" s="545" t="n"/>
      <x:c r="Q228" s="550" t="str">
        <x:f>IF(E228="","",IFERROR(VLOOKUP(E228,'2_Tính giá'!$A$12:$M$51,13,FALSE),""))</x:f>
      </x:c>
      <x:c r="R228" s="550" t="str">
        <x:f>IF(OR(A228="",H228="",Q228=""),"",H228*Q228)</x:f>
      </x:c>
      <x:c r="S228" s="550" t="str">
        <x:f>IF(A228="","",J228+M228-K228-L228)</x:f>
      </x:c>
      <x:c r="T228" s="550" t="str">
        <x:f>IF(A228="","",J228+M228-K228-L228-N228-R228)</x:f>
      </x:c>
      <x:c r="U228" s="545" t="n"/>
      <x:c r="V228" s="545" t="n"/>
    </x:row>
    <x:row r="229">
      <x:c r="A229" s="545" t="n"/>
      <x:c r="B229" s="549" t="n"/>
      <x:c r="C229" s="545" t="n"/>
      <x:c r="D229" s="545" t="n"/>
      <x:c r="E229" s="545" t="n"/>
      <x:c r="F229" s="545" t="n"/>
      <x:c r="G229" s="545" t="n"/>
      <x:c r="H229" s="545" t="n"/>
      <x:c r="I229" s="550" t="n"/>
      <x:c r="J229" s="550" t="str">
        <x:f>IF(A229="","",IFERROR(H229*I229,""))</x:f>
      </x:c>
      <x:c r="K229" s="550" t="n"/>
      <x:c r="L229" s="550" t="n"/>
      <x:c r="M229" s="550" t="n"/>
      <x:c r="N229" s="550" t="n"/>
      <x:c r="O229" s="545" t="n"/>
      <x:c r="P229" s="545" t="n"/>
      <x:c r="Q229" s="550" t="str">
        <x:f>IF(E229="","",IFERROR(VLOOKUP(E229,'2_Tính giá'!$A$12:$M$51,13,FALSE),""))</x:f>
      </x:c>
      <x:c r="R229" s="550" t="str">
        <x:f>IF(OR(A229="",H229="",Q229=""),"",H229*Q229)</x:f>
      </x:c>
      <x:c r="S229" s="550" t="str">
        <x:f>IF(A229="","",J229+M229-K229-L229)</x:f>
      </x:c>
      <x:c r="T229" s="550" t="str">
        <x:f>IF(A229="","",J229+M229-K229-L229-N229-R229)</x:f>
      </x:c>
      <x:c r="U229" s="545" t="n"/>
      <x:c r="V229" s="545" t="n"/>
    </x:row>
    <x:row r="230">
      <x:c r="A230" s="545" t="n"/>
      <x:c r="B230" s="549" t="n"/>
      <x:c r="C230" s="545" t="n"/>
      <x:c r="D230" s="545" t="n"/>
      <x:c r="E230" s="545" t="n"/>
      <x:c r="F230" s="545" t="n"/>
      <x:c r="G230" s="545" t="n"/>
      <x:c r="H230" s="545" t="n"/>
      <x:c r="I230" s="550" t="n"/>
      <x:c r="J230" s="550" t="str">
        <x:f>IF(A230="","",IFERROR(H230*I230,""))</x:f>
      </x:c>
      <x:c r="K230" s="550" t="n"/>
      <x:c r="L230" s="550" t="n"/>
      <x:c r="M230" s="550" t="n"/>
      <x:c r="N230" s="550" t="n"/>
      <x:c r="O230" s="545" t="n"/>
      <x:c r="P230" s="545" t="n"/>
      <x:c r="Q230" s="550" t="str">
        <x:f>IF(E230="","",IFERROR(VLOOKUP(E230,'2_Tính giá'!$A$12:$M$51,13,FALSE),""))</x:f>
      </x:c>
      <x:c r="R230" s="550" t="str">
        <x:f>IF(OR(A230="",H230="",Q230=""),"",H230*Q230)</x:f>
      </x:c>
      <x:c r="S230" s="550" t="str">
        <x:f>IF(A230="","",J230+M230-K230-L230)</x:f>
      </x:c>
      <x:c r="T230" s="550" t="str">
        <x:f>IF(A230="","",J230+M230-K230-L230-N230-R230)</x:f>
      </x:c>
      <x:c r="U230" s="545" t="n"/>
      <x:c r="V230" s="545" t="n"/>
    </x:row>
    <x:row r="231">
      <x:c r="A231" s="545" t="n"/>
      <x:c r="B231" s="549" t="n"/>
      <x:c r="C231" s="545" t="n"/>
      <x:c r="D231" s="545" t="n"/>
      <x:c r="E231" s="545" t="n"/>
      <x:c r="F231" s="545" t="n"/>
      <x:c r="G231" s="545" t="n"/>
      <x:c r="H231" s="545" t="n"/>
      <x:c r="I231" s="550" t="n"/>
      <x:c r="J231" s="550" t="str">
        <x:f>IF(A231="","",IFERROR(H231*I231,""))</x:f>
      </x:c>
      <x:c r="K231" s="550" t="n"/>
      <x:c r="L231" s="550" t="n"/>
      <x:c r="M231" s="550" t="n"/>
      <x:c r="N231" s="550" t="n"/>
      <x:c r="O231" s="545" t="n"/>
      <x:c r="P231" s="545" t="n"/>
      <x:c r="Q231" s="550" t="str">
        <x:f>IF(E231="","",IFERROR(VLOOKUP(E231,'2_Tính giá'!$A$12:$M$51,13,FALSE),""))</x:f>
      </x:c>
      <x:c r="R231" s="550" t="str">
        <x:f>IF(OR(A231="",H231="",Q231=""),"",H231*Q231)</x:f>
      </x:c>
      <x:c r="S231" s="550" t="str">
        <x:f>IF(A231="","",J231+M231-K231-L231)</x:f>
      </x:c>
      <x:c r="T231" s="550" t="str">
        <x:f>IF(A231="","",J231+M231-K231-L231-N231-R231)</x:f>
      </x:c>
      <x:c r="U231" s="545" t="n"/>
      <x:c r="V231" s="545" t="n"/>
    </x:row>
    <x:row r="232">
      <x:c r="A232" s="545" t="n"/>
      <x:c r="B232" s="549" t="n"/>
      <x:c r="C232" s="545" t="n"/>
      <x:c r="D232" s="545" t="n"/>
      <x:c r="E232" s="545" t="n"/>
      <x:c r="F232" s="545" t="n"/>
      <x:c r="G232" s="545" t="n"/>
      <x:c r="H232" s="545" t="n"/>
      <x:c r="I232" s="550" t="n"/>
      <x:c r="J232" s="550" t="str">
        <x:f>IF(A232="","",IFERROR(H232*I232,""))</x:f>
      </x:c>
      <x:c r="K232" s="550" t="n"/>
      <x:c r="L232" s="550" t="n"/>
      <x:c r="M232" s="550" t="n"/>
      <x:c r="N232" s="550" t="n"/>
      <x:c r="O232" s="545" t="n"/>
      <x:c r="P232" s="545" t="n"/>
      <x:c r="Q232" s="550" t="str">
        <x:f>IF(E232="","",IFERROR(VLOOKUP(E232,'2_Tính giá'!$A$12:$M$51,13,FALSE),""))</x:f>
      </x:c>
      <x:c r="R232" s="550" t="str">
        <x:f>IF(OR(A232="",H232="",Q232=""),"",H232*Q232)</x:f>
      </x:c>
      <x:c r="S232" s="550" t="str">
        <x:f>IF(A232="","",J232+M232-K232-L232)</x:f>
      </x:c>
      <x:c r="T232" s="550" t="str">
        <x:f>IF(A232="","",J232+M232-K232-L232-N232-R232)</x:f>
      </x:c>
      <x:c r="U232" s="545" t="n"/>
      <x:c r="V232" s="545" t="n"/>
    </x:row>
    <x:row r="233">
      <x:c r="A233" s="545" t="n"/>
      <x:c r="B233" s="549" t="n"/>
      <x:c r="C233" s="545" t="n"/>
      <x:c r="D233" s="545" t="n"/>
      <x:c r="E233" s="545" t="n"/>
      <x:c r="F233" s="545" t="n"/>
      <x:c r="G233" s="545" t="n"/>
      <x:c r="H233" s="545" t="n"/>
      <x:c r="I233" s="550" t="n"/>
      <x:c r="J233" s="550" t="str">
        <x:f>IF(A233="","",IFERROR(H233*I233,""))</x:f>
      </x:c>
      <x:c r="K233" s="550" t="n"/>
      <x:c r="L233" s="550" t="n"/>
      <x:c r="M233" s="550" t="n"/>
      <x:c r="N233" s="550" t="n"/>
      <x:c r="O233" s="545" t="n"/>
      <x:c r="P233" s="545" t="n"/>
      <x:c r="Q233" s="550" t="str">
        <x:f>IF(E233="","",IFERROR(VLOOKUP(E233,'2_Tính giá'!$A$12:$M$51,13,FALSE),""))</x:f>
      </x:c>
      <x:c r="R233" s="550" t="str">
        <x:f>IF(OR(A233="",H233="",Q233=""),"",H233*Q233)</x:f>
      </x:c>
      <x:c r="S233" s="550" t="str">
        <x:f>IF(A233="","",J233+M233-K233-L233)</x:f>
      </x:c>
      <x:c r="T233" s="550" t="str">
        <x:f>IF(A233="","",J233+M233-K233-L233-N233-R233)</x:f>
      </x:c>
      <x:c r="U233" s="545" t="n"/>
      <x:c r="V233" s="545" t="n"/>
    </x:row>
    <x:row r="234">
      <x:c r="A234" s="545" t="n"/>
      <x:c r="B234" s="549" t="n"/>
      <x:c r="C234" s="545" t="n"/>
      <x:c r="D234" s="545" t="n"/>
      <x:c r="E234" s="545" t="n"/>
      <x:c r="F234" s="545" t="n"/>
      <x:c r="G234" s="545" t="n"/>
      <x:c r="H234" s="545" t="n"/>
      <x:c r="I234" s="550" t="n"/>
      <x:c r="J234" s="550" t="str">
        <x:f>IF(A234="","",IFERROR(H234*I234,""))</x:f>
      </x:c>
      <x:c r="K234" s="550" t="n"/>
      <x:c r="L234" s="550" t="n"/>
      <x:c r="M234" s="550" t="n"/>
      <x:c r="N234" s="550" t="n"/>
      <x:c r="O234" s="545" t="n"/>
      <x:c r="P234" s="545" t="n"/>
      <x:c r="Q234" s="550" t="str">
        <x:f>IF(E234="","",IFERROR(VLOOKUP(E234,'2_Tính giá'!$A$12:$M$51,13,FALSE),""))</x:f>
      </x:c>
      <x:c r="R234" s="550" t="str">
        <x:f>IF(OR(A234="",H234="",Q234=""),"",H234*Q234)</x:f>
      </x:c>
      <x:c r="S234" s="550" t="str">
        <x:f>IF(A234="","",J234+M234-K234-L234)</x:f>
      </x:c>
      <x:c r="T234" s="550" t="str">
        <x:f>IF(A234="","",J234+M234-K234-L234-N234-R234)</x:f>
      </x:c>
      <x:c r="U234" s="545" t="n"/>
      <x:c r="V234" s="545" t="n"/>
    </x:row>
    <x:row r="235">
      <x:c r="A235" s="545" t="n"/>
      <x:c r="B235" s="549" t="n"/>
      <x:c r="C235" s="545" t="n"/>
      <x:c r="D235" s="545" t="n"/>
      <x:c r="E235" s="545" t="n"/>
      <x:c r="F235" s="545" t="n"/>
      <x:c r="G235" s="545" t="n"/>
      <x:c r="H235" s="545" t="n"/>
      <x:c r="I235" s="550" t="n"/>
      <x:c r="J235" s="550" t="str">
        <x:f>IF(A235="","",IFERROR(H235*I235,""))</x:f>
      </x:c>
      <x:c r="K235" s="550" t="n"/>
      <x:c r="L235" s="550" t="n"/>
      <x:c r="M235" s="550" t="n"/>
      <x:c r="N235" s="550" t="n"/>
      <x:c r="O235" s="545" t="n"/>
      <x:c r="P235" s="545" t="n"/>
      <x:c r="Q235" s="550" t="str">
        <x:f>IF(E235="","",IFERROR(VLOOKUP(E235,'2_Tính giá'!$A$12:$M$51,13,FALSE),""))</x:f>
      </x:c>
      <x:c r="R235" s="550" t="str">
        <x:f>IF(OR(A235="",H235="",Q235=""),"",H235*Q235)</x:f>
      </x:c>
      <x:c r="S235" s="550" t="str">
        <x:f>IF(A235="","",J235+M235-K235-L235)</x:f>
      </x:c>
      <x:c r="T235" s="550" t="str">
        <x:f>IF(A235="","",J235+M235-K235-L235-N235-R235)</x:f>
      </x:c>
      <x:c r="U235" s="545" t="n"/>
      <x:c r="V235" s="545" t="n"/>
    </x:row>
    <x:row r="236">
      <x:c r="A236" s="545" t="n"/>
      <x:c r="B236" s="549" t="n"/>
      <x:c r="C236" s="545" t="n"/>
      <x:c r="D236" s="545" t="n"/>
      <x:c r="E236" s="545" t="n"/>
      <x:c r="F236" s="545" t="n"/>
      <x:c r="G236" s="545" t="n"/>
      <x:c r="H236" s="545" t="n"/>
      <x:c r="I236" s="550" t="n"/>
      <x:c r="J236" s="550" t="str">
        <x:f>IF(A236="","",IFERROR(H236*I236,""))</x:f>
      </x:c>
      <x:c r="K236" s="550" t="n"/>
      <x:c r="L236" s="550" t="n"/>
      <x:c r="M236" s="550" t="n"/>
      <x:c r="N236" s="550" t="n"/>
      <x:c r="O236" s="545" t="n"/>
      <x:c r="P236" s="545" t="n"/>
      <x:c r="Q236" s="550" t="str">
        <x:f>IF(E236="","",IFERROR(VLOOKUP(E236,'2_Tính giá'!$A$12:$M$51,13,FALSE),""))</x:f>
      </x:c>
      <x:c r="R236" s="550" t="str">
        <x:f>IF(OR(A236="",H236="",Q236=""),"",H236*Q236)</x:f>
      </x:c>
      <x:c r="S236" s="550" t="str">
        <x:f>IF(A236="","",J236+M236-K236-L236)</x:f>
      </x:c>
      <x:c r="T236" s="550" t="str">
        <x:f>IF(A236="","",J236+M236-K236-L236-N236-R236)</x:f>
      </x:c>
      <x:c r="U236" s="545" t="n"/>
      <x:c r="V236" s="545" t="n"/>
    </x:row>
    <x:row r="237">
      <x:c r="A237" s="545" t="n"/>
      <x:c r="B237" s="549" t="n"/>
      <x:c r="C237" s="545" t="n"/>
      <x:c r="D237" s="545" t="n"/>
      <x:c r="E237" s="545" t="n"/>
      <x:c r="F237" s="545" t="n"/>
      <x:c r="G237" s="545" t="n"/>
      <x:c r="H237" s="545" t="n"/>
      <x:c r="I237" s="550" t="n"/>
      <x:c r="J237" s="550" t="str">
        <x:f>IF(A237="","",IFERROR(H237*I237,""))</x:f>
      </x:c>
      <x:c r="K237" s="550" t="n"/>
      <x:c r="L237" s="550" t="n"/>
      <x:c r="M237" s="550" t="n"/>
      <x:c r="N237" s="550" t="n"/>
      <x:c r="O237" s="545" t="n"/>
      <x:c r="P237" s="545" t="n"/>
      <x:c r="Q237" s="550" t="str">
        <x:f>IF(E237="","",IFERROR(VLOOKUP(E237,'2_Tính giá'!$A$12:$M$51,13,FALSE),""))</x:f>
      </x:c>
      <x:c r="R237" s="550" t="str">
        <x:f>IF(OR(A237="",H237="",Q237=""),"",H237*Q237)</x:f>
      </x:c>
      <x:c r="S237" s="550" t="str">
        <x:f>IF(A237="","",J237+M237-K237-L237)</x:f>
      </x:c>
      <x:c r="T237" s="550" t="str">
        <x:f>IF(A237="","",J237+M237-K237-L237-N237-R237)</x:f>
      </x:c>
      <x:c r="U237" s="545" t="n"/>
      <x:c r="V237" s="545" t="n"/>
    </x:row>
    <x:row r="238">
      <x:c r="A238" s="545" t="n"/>
      <x:c r="B238" s="549" t="n"/>
      <x:c r="C238" s="545" t="n"/>
      <x:c r="D238" s="545" t="n"/>
      <x:c r="E238" s="545" t="n"/>
      <x:c r="F238" s="545" t="n"/>
      <x:c r="G238" s="545" t="n"/>
      <x:c r="H238" s="545" t="n"/>
      <x:c r="I238" s="550" t="n"/>
      <x:c r="J238" s="550" t="str">
        <x:f>IF(A238="","",IFERROR(H238*I238,""))</x:f>
      </x:c>
      <x:c r="K238" s="550" t="n"/>
      <x:c r="L238" s="550" t="n"/>
      <x:c r="M238" s="550" t="n"/>
      <x:c r="N238" s="550" t="n"/>
      <x:c r="O238" s="545" t="n"/>
      <x:c r="P238" s="545" t="n"/>
      <x:c r="Q238" s="550" t="str">
        <x:f>IF(E238="","",IFERROR(VLOOKUP(E238,'2_Tính giá'!$A$12:$M$51,13,FALSE),""))</x:f>
      </x:c>
      <x:c r="R238" s="550" t="str">
        <x:f>IF(OR(A238="",H238="",Q238=""),"",H238*Q238)</x:f>
      </x:c>
      <x:c r="S238" s="550" t="str">
        <x:f>IF(A238="","",J238+M238-K238-L238)</x:f>
      </x:c>
      <x:c r="T238" s="550" t="str">
        <x:f>IF(A238="","",J238+M238-K238-L238-N238-R238)</x:f>
      </x:c>
      <x:c r="U238" s="545" t="n"/>
      <x:c r="V238" s="545" t="n"/>
    </x:row>
    <x:row r="239">
      <x:c r="A239" s="545" t="n"/>
      <x:c r="B239" s="549" t="n"/>
      <x:c r="C239" s="545" t="n"/>
      <x:c r="D239" s="545" t="n"/>
      <x:c r="E239" s="545" t="n"/>
      <x:c r="F239" s="545" t="n"/>
      <x:c r="G239" s="545" t="n"/>
      <x:c r="H239" s="545" t="n"/>
      <x:c r="I239" s="550" t="n"/>
      <x:c r="J239" s="550" t="str">
        <x:f>IF(A239="","",IFERROR(H239*I239,""))</x:f>
      </x:c>
      <x:c r="K239" s="550" t="n"/>
      <x:c r="L239" s="550" t="n"/>
      <x:c r="M239" s="550" t="n"/>
      <x:c r="N239" s="550" t="n"/>
      <x:c r="O239" s="545" t="n"/>
      <x:c r="P239" s="545" t="n"/>
      <x:c r="Q239" s="550" t="str">
        <x:f>IF(E239="","",IFERROR(VLOOKUP(E239,'2_Tính giá'!$A$12:$M$51,13,FALSE),""))</x:f>
      </x:c>
      <x:c r="R239" s="550" t="str">
        <x:f>IF(OR(A239="",H239="",Q239=""),"",H239*Q239)</x:f>
      </x:c>
      <x:c r="S239" s="550" t="str">
        <x:f>IF(A239="","",J239+M239-K239-L239)</x:f>
      </x:c>
      <x:c r="T239" s="550" t="str">
        <x:f>IF(A239="","",J239+M239-K239-L239-N239-R239)</x:f>
      </x:c>
      <x:c r="U239" s="545" t="n"/>
      <x:c r="V239" s="545" t="n"/>
    </x:row>
    <x:row r="240">
      <x:c r="A240" s="545" t="n"/>
      <x:c r="B240" s="549" t="n"/>
      <x:c r="C240" s="545" t="n"/>
      <x:c r="D240" s="545" t="n"/>
      <x:c r="E240" s="545" t="n"/>
      <x:c r="F240" s="545" t="n"/>
      <x:c r="G240" s="545" t="n"/>
      <x:c r="H240" s="545" t="n"/>
      <x:c r="I240" s="550" t="n"/>
      <x:c r="J240" s="550" t="str">
        <x:f>IF(A240="","",IFERROR(H240*I240,""))</x:f>
      </x:c>
      <x:c r="K240" s="550" t="n"/>
      <x:c r="L240" s="550" t="n"/>
      <x:c r="M240" s="550" t="n"/>
      <x:c r="N240" s="550" t="n"/>
      <x:c r="O240" s="545" t="n"/>
      <x:c r="P240" s="545" t="n"/>
      <x:c r="Q240" s="550" t="str">
        <x:f>IF(E240="","",IFERROR(VLOOKUP(E240,'2_Tính giá'!$A$12:$M$51,13,FALSE),""))</x:f>
      </x:c>
      <x:c r="R240" s="550" t="str">
        <x:f>IF(OR(A240="",H240="",Q240=""),"",H240*Q240)</x:f>
      </x:c>
      <x:c r="S240" s="550" t="str">
        <x:f>IF(A240="","",J240+M240-K240-L240)</x:f>
      </x:c>
      <x:c r="T240" s="550" t="str">
        <x:f>IF(A240="","",J240+M240-K240-L240-N240-R240)</x:f>
      </x:c>
      <x:c r="U240" s="545" t="n"/>
      <x:c r="V240" s="545" t="n"/>
    </x:row>
    <x:row r="241">
      <x:c r="A241" s="545" t="n"/>
      <x:c r="B241" s="549" t="n"/>
      <x:c r="C241" s="545" t="n"/>
      <x:c r="D241" s="545" t="n"/>
      <x:c r="E241" s="545" t="n"/>
      <x:c r="F241" s="545" t="n"/>
      <x:c r="G241" s="545" t="n"/>
      <x:c r="H241" s="545" t="n"/>
      <x:c r="I241" s="550" t="n"/>
      <x:c r="J241" s="550" t="str">
        <x:f>IF(A241="","",IFERROR(H241*I241,""))</x:f>
      </x:c>
      <x:c r="K241" s="550" t="n"/>
      <x:c r="L241" s="550" t="n"/>
      <x:c r="M241" s="550" t="n"/>
      <x:c r="N241" s="550" t="n"/>
      <x:c r="O241" s="545" t="n"/>
      <x:c r="P241" s="545" t="n"/>
      <x:c r="Q241" s="550" t="str">
        <x:f>IF(E241="","",IFERROR(VLOOKUP(E241,'2_Tính giá'!$A$12:$M$51,13,FALSE),""))</x:f>
      </x:c>
      <x:c r="R241" s="550" t="str">
        <x:f>IF(OR(A241="",H241="",Q241=""),"",H241*Q241)</x:f>
      </x:c>
      <x:c r="S241" s="550" t="str">
        <x:f>IF(A241="","",J241+M241-K241-L241)</x:f>
      </x:c>
      <x:c r="T241" s="550" t="str">
        <x:f>IF(A241="","",J241+M241-K241-L241-N241-R241)</x:f>
      </x:c>
      <x:c r="U241" s="545" t="n"/>
      <x:c r="V241" s="545" t="n"/>
    </x:row>
    <x:row r="242">
      <x:c r="A242" s="545" t="n"/>
      <x:c r="B242" s="549" t="n"/>
      <x:c r="C242" s="545" t="n"/>
      <x:c r="D242" s="545" t="n"/>
      <x:c r="E242" s="545" t="n"/>
      <x:c r="F242" s="545" t="n"/>
      <x:c r="G242" s="545" t="n"/>
      <x:c r="H242" s="545" t="n"/>
      <x:c r="I242" s="550" t="n"/>
      <x:c r="J242" s="550" t="str">
        <x:f>IF(A242="","",IFERROR(H242*I242,""))</x:f>
      </x:c>
      <x:c r="K242" s="550" t="n"/>
      <x:c r="L242" s="550" t="n"/>
      <x:c r="M242" s="550" t="n"/>
      <x:c r="N242" s="550" t="n"/>
      <x:c r="O242" s="545" t="n"/>
      <x:c r="P242" s="545" t="n"/>
      <x:c r="Q242" s="550" t="str">
        <x:f>IF(E242="","",IFERROR(VLOOKUP(E242,'2_Tính giá'!$A$12:$M$51,13,FALSE),""))</x:f>
      </x:c>
      <x:c r="R242" s="550" t="str">
        <x:f>IF(OR(A242="",H242="",Q242=""),"",H242*Q242)</x:f>
      </x:c>
      <x:c r="S242" s="550" t="str">
        <x:f>IF(A242="","",J242+M242-K242-L242)</x:f>
      </x:c>
      <x:c r="T242" s="550" t="str">
        <x:f>IF(A242="","",J242+M242-K242-L242-N242-R242)</x:f>
      </x:c>
      <x:c r="U242" s="545" t="n"/>
      <x:c r="V242" s="545" t="n"/>
    </x:row>
    <x:row r="243">
      <x:c r="A243" s="545" t="n"/>
      <x:c r="B243" s="549" t="n"/>
      <x:c r="C243" s="545" t="n"/>
      <x:c r="D243" s="545" t="n"/>
      <x:c r="E243" s="545" t="n"/>
      <x:c r="F243" s="545" t="n"/>
      <x:c r="G243" s="545" t="n"/>
      <x:c r="H243" s="545" t="n"/>
      <x:c r="I243" s="550" t="n"/>
      <x:c r="J243" s="550" t="str">
        <x:f>IF(A243="","",IFERROR(H243*I243,""))</x:f>
      </x:c>
      <x:c r="K243" s="550" t="n"/>
      <x:c r="L243" s="550" t="n"/>
      <x:c r="M243" s="550" t="n"/>
      <x:c r="N243" s="550" t="n"/>
      <x:c r="O243" s="545" t="n"/>
      <x:c r="P243" s="545" t="n"/>
      <x:c r="Q243" s="550" t="str">
        <x:f>IF(E243="","",IFERROR(VLOOKUP(E243,'2_Tính giá'!$A$12:$M$51,13,FALSE),""))</x:f>
      </x:c>
      <x:c r="R243" s="550" t="str">
        <x:f>IF(OR(A243="",H243="",Q243=""),"",H243*Q243)</x:f>
      </x:c>
      <x:c r="S243" s="550" t="str">
        <x:f>IF(A243="","",J243+M243-K243-L243)</x:f>
      </x:c>
      <x:c r="T243" s="550" t="str">
        <x:f>IF(A243="","",J243+M243-K243-L243-N243-R243)</x:f>
      </x:c>
      <x:c r="U243" s="545" t="n"/>
      <x:c r="V243" s="545" t="n"/>
    </x:row>
    <x:row r="244">
      <x:c r="A244" s="545" t="n"/>
      <x:c r="B244" s="549" t="n"/>
      <x:c r="C244" s="545" t="n"/>
      <x:c r="D244" s="545" t="n"/>
      <x:c r="E244" s="545" t="n"/>
      <x:c r="F244" s="545" t="n"/>
      <x:c r="G244" s="545" t="n"/>
      <x:c r="H244" s="545" t="n"/>
      <x:c r="I244" s="550" t="n"/>
      <x:c r="J244" s="550" t="str">
        <x:f>IF(A244="","",IFERROR(H244*I244,""))</x:f>
      </x:c>
      <x:c r="K244" s="550" t="n"/>
      <x:c r="L244" s="550" t="n"/>
      <x:c r="M244" s="550" t="n"/>
      <x:c r="N244" s="550" t="n"/>
      <x:c r="O244" s="545" t="n"/>
      <x:c r="P244" s="545" t="n"/>
      <x:c r="Q244" s="550" t="str">
        <x:f>IF(E244="","",IFERROR(VLOOKUP(E244,'2_Tính giá'!$A$12:$M$51,13,FALSE),""))</x:f>
      </x:c>
      <x:c r="R244" s="550" t="str">
        <x:f>IF(OR(A244="",H244="",Q244=""),"",H244*Q244)</x:f>
      </x:c>
      <x:c r="S244" s="550" t="str">
        <x:f>IF(A244="","",J244+M244-K244-L244)</x:f>
      </x:c>
      <x:c r="T244" s="550" t="str">
        <x:f>IF(A244="","",J244+M244-K244-L244-N244-R244)</x:f>
      </x:c>
      <x:c r="U244" s="545" t="n"/>
      <x:c r="V244" s="545" t="n"/>
    </x:row>
    <x:row r="245">
      <x:c r="A245" s="545" t="n"/>
      <x:c r="B245" s="549" t="n"/>
      <x:c r="C245" s="545" t="n"/>
      <x:c r="D245" s="545" t="n"/>
      <x:c r="E245" s="545" t="n"/>
      <x:c r="F245" s="545" t="n"/>
      <x:c r="G245" s="545" t="n"/>
      <x:c r="H245" s="545" t="n"/>
      <x:c r="I245" s="550" t="n"/>
      <x:c r="J245" s="550" t="str">
        <x:f>IF(A245="","",IFERROR(H245*I245,""))</x:f>
      </x:c>
      <x:c r="K245" s="550" t="n"/>
      <x:c r="L245" s="550" t="n"/>
      <x:c r="M245" s="550" t="n"/>
      <x:c r="N245" s="550" t="n"/>
      <x:c r="O245" s="545" t="n"/>
      <x:c r="P245" s="545" t="n"/>
      <x:c r="Q245" s="550" t="str">
        <x:f>IF(E245="","",IFERROR(VLOOKUP(E245,'2_Tính giá'!$A$12:$M$51,13,FALSE),""))</x:f>
      </x:c>
      <x:c r="R245" s="550" t="str">
        <x:f>IF(OR(A245="",H245="",Q245=""),"",H245*Q245)</x:f>
      </x:c>
      <x:c r="S245" s="550" t="str">
        <x:f>IF(A245="","",J245+M245-K245-L245)</x:f>
      </x:c>
      <x:c r="T245" s="550" t="str">
        <x:f>IF(A245="","",J245+M245-K245-L245-N245-R245)</x:f>
      </x:c>
      <x:c r="U245" s="545" t="n"/>
      <x:c r="V245" s="545" t="n"/>
    </x:row>
    <x:row r="246">
      <x:c r="A246" s="545" t="n"/>
      <x:c r="B246" s="549" t="n"/>
      <x:c r="C246" s="545" t="n"/>
      <x:c r="D246" s="545" t="n"/>
      <x:c r="E246" s="545" t="n"/>
      <x:c r="F246" s="545" t="n"/>
      <x:c r="G246" s="545" t="n"/>
      <x:c r="H246" s="545" t="n"/>
      <x:c r="I246" s="550" t="n"/>
      <x:c r="J246" s="550" t="str">
        <x:f>IF(A246="","",IFERROR(H246*I246,""))</x:f>
      </x:c>
      <x:c r="K246" s="550" t="n"/>
      <x:c r="L246" s="550" t="n"/>
      <x:c r="M246" s="550" t="n"/>
      <x:c r="N246" s="550" t="n"/>
      <x:c r="O246" s="545" t="n"/>
      <x:c r="P246" s="545" t="n"/>
      <x:c r="Q246" s="550" t="str">
        <x:f>IF(E246="","",IFERROR(VLOOKUP(E246,'2_Tính giá'!$A$12:$M$51,13,FALSE),""))</x:f>
      </x:c>
      <x:c r="R246" s="550" t="str">
        <x:f>IF(OR(A246="",H246="",Q246=""),"",H246*Q246)</x:f>
      </x:c>
      <x:c r="S246" s="550" t="str">
        <x:f>IF(A246="","",J246+M246-K246-L246)</x:f>
      </x:c>
      <x:c r="T246" s="550" t="str">
        <x:f>IF(A246="","",J246+M246-K246-L246-N246-R246)</x:f>
      </x:c>
      <x:c r="U246" s="545" t="n"/>
      <x:c r="V246" s="545" t="n"/>
    </x:row>
    <x:row r="247">
      <x:c r="A247" s="545" t="n"/>
      <x:c r="B247" s="549" t="n"/>
      <x:c r="C247" s="545" t="n"/>
      <x:c r="D247" s="545" t="n"/>
      <x:c r="E247" s="545" t="n"/>
      <x:c r="F247" s="545" t="n"/>
      <x:c r="G247" s="545" t="n"/>
      <x:c r="H247" s="545" t="n"/>
      <x:c r="I247" s="550" t="n"/>
      <x:c r="J247" s="550" t="str">
        <x:f>IF(A247="","",IFERROR(H247*I247,""))</x:f>
      </x:c>
      <x:c r="K247" s="550" t="n"/>
      <x:c r="L247" s="550" t="n"/>
      <x:c r="M247" s="550" t="n"/>
      <x:c r="N247" s="550" t="n"/>
      <x:c r="O247" s="545" t="n"/>
      <x:c r="P247" s="545" t="n"/>
      <x:c r="Q247" s="550" t="str">
        <x:f>IF(E247="","",IFERROR(VLOOKUP(E247,'2_Tính giá'!$A$12:$M$51,13,FALSE),""))</x:f>
      </x:c>
      <x:c r="R247" s="550" t="str">
        <x:f>IF(OR(A247="",H247="",Q247=""),"",H247*Q247)</x:f>
      </x:c>
      <x:c r="S247" s="550" t="str">
        <x:f>IF(A247="","",J247+M247-K247-L247)</x:f>
      </x:c>
      <x:c r="T247" s="550" t="str">
        <x:f>IF(A247="","",J247+M247-K247-L247-N247-R247)</x:f>
      </x:c>
      <x:c r="U247" s="545" t="n"/>
      <x:c r="V247" s="545" t="n"/>
    </x:row>
    <x:row r="248">
      <x:c r="A248" s="545" t="n"/>
      <x:c r="B248" s="549" t="n"/>
      <x:c r="C248" s="545" t="n"/>
      <x:c r="D248" s="545" t="n"/>
      <x:c r="E248" s="545" t="n"/>
      <x:c r="F248" s="545" t="n"/>
      <x:c r="G248" s="545" t="n"/>
      <x:c r="H248" s="545" t="n"/>
      <x:c r="I248" s="550" t="n"/>
      <x:c r="J248" s="550" t="str">
        <x:f>IF(A248="","",IFERROR(H248*I248,""))</x:f>
      </x:c>
      <x:c r="K248" s="550" t="n"/>
      <x:c r="L248" s="550" t="n"/>
      <x:c r="M248" s="550" t="n"/>
      <x:c r="N248" s="550" t="n"/>
      <x:c r="O248" s="545" t="n"/>
      <x:c r="P248" s="545" t="n"/>
      <x:c r="Q248" s="550" t="str">
        <x:f>IF(E248="","",IFERROR(VLOOKUP(E248,'2_Tính giá'!$A$12:$M$51,13,FALSE),""))</x:f>
      </x:c>
      <x:c r="R248" s="550" t="str">
        <x:f>IF(OR(A248="",H248="",Q248=""),"",H248*Q248)</x:f>
      </x:c>
      <x:c r="S248" s="550" t="str">
        <x:f>IF(A248="","",J248+M248-K248-L248)</x:f>
      </x:c>
      <x:c r="T248" s="550" t="str">
        <x:f>IF(A248="","",J248+M248-K248-L248-N248-R248)</x:f>
      </x:c>
      <x:c r="U248" s="545" t="n"/>
      <x:c r="V248" s="545" t="n"/>
    </x:row>
    <x:row r="249">
      <x:c r="A249" s="545" t="n"/>
      <x:c r="B249" s="549" t="n"/>
      <x:c r="C249" s="545" t="n"/>
      <x:c r="D249" s="545" t="n"/>
      <x:c r="E249" s="545" t="n"/>
      <x:c r="F249" s="545" t="n"/>
      <x:c r="G249" s="545" t="n"/>
      <x:c r="H249" s="545" t="n"/>
      <x:c r="I249" s="550" t="n"/>
      <x:c r="J249" s="550" t="str">
        <x:f>IF(A249="","",IFERROR(H249*I249,""))</x:f>
      </x:c>
      <x:c r="K249" s="550" t="n"/>
      <x:c r="L249" s="550" t="n"/>
      <x:c r="M249" s="550" t="n"/>
      <x:c r="N249" s="550" t="n"/>
      <x:c r="O249" s="545" t="n"/>
      <x:c r="P249" s="545" t="n"/>
      <x:c r="Q249" s="550" t="str">
        <x:f>IF(E249="","",IFERROR(VLOOKUP(E249,'2_Tính giá'!$A$12:$M$51,13,FALSE),""))</x:f>
      </x:c>
      <x:c r="R249" s="550" t="str">
        <x:f>IF(OR(A249="",H249="",Q249=""),"",H249*Q249)</x:f>
      </x:c>
      <x:c r="S249" s="550" t="str">
        <x:f>IF(A249="","",J249+M249-K249-L249)</x:f>
      </x:c>
      <x:c r="T249" s="550" t="str">
        <x:f>IF(A249="","",J249+M249-K249-L249-N249-R249)</x:f>
      </x:c>
      <x:c r="U249" s="545" t="n"/>
      <x:c r="V249" s="545" t="n"/>
    </x:row>
    <x:row r="250">
      <x:c r="A250" s="545" t="n"/>
      <x:c r="B250" s="549" t="n"/>
      <x:c r="C250" s="545" t="n"/>
      <x:c r="D250" s="545" t="n"/>
      <x:c r="E250" s="545" t="n"/>
      <x:c r="F250" s="545" t="n"/>
      <x:c r="G250" s="545" t="n"/>
      <x:c r="H250" s="545" t="n"/>
      <x:c r="I250" s="550" t="n"/>
      <x:c r="J250" s="550" t="str">
        <x:f>IF(A250="","",IFERROR(H250*I250,""))</x:f>
      </x:c>
      <x:c r="K250" s="550" t="n"/>
      <x:c r="L250" s="550" t="n"/>
      <x:c r="M250" s="550" t="n"/>
      <x:c r="N250" s="550" t="n"/>
      <x:c r="O250" s="545" t="n"/>
      <x:c r="P250" s="545" t="n"/>
      <x:c r="Q250" s="550" t="str">
        <x:f>IF(E250="","",IFERROR(VLOOKUP(E250,'2_Tính giá'!$A$12:$M$51,13,FALSE),""))</x:f>
      </x:c>
      <x:c r="R250" s="550" t="str">
        <x:f>IF(OR(A250="",H250="",Q250=""),"",H250*Q250)</x:f>
      </x:c>
      <x:c r="S250" s="550" t="str">
        <x:f>IF(A250="","",J250+M250-K250-L250)</x:f>
      </x:c>
      <x:c r="T250" s="550" t="str">
        <x:f>IF(A250="","",J250+M250-K250-L250-N250-R250)</x:f>
      </x:c>
      <x:c r="U250" s="545" t="n"/>
      <x:c r="V250" s="545" t="n"/>
    </x:row>
    <x:row r="251">
      <x:c r="A251" s="545" t="n"/>
      <x:c r="B251" s="549" t="n"/>
      <x:c r="C251" s="545" t="n"/>
      <x:c r="D251" s="545" t="n"/>
      <x:c r="E251" s="545" t="n"/>
      <x:c r="F251" s="545" t="n"/>
      <x:c r="G251" s="545" t="n"/>
      <x:c r="H251" s="545" t="n"/>
      <x:c r="I251" s="550" t="n"/>
      <x:c r="J251" s="550" t="str">
        <x:f>IF(A251="","",IFERROR(H251*I251,""))</x:f>
      </x:c>
      <x:c r="K251" s="550" t="n"/>
      <x:c r="L251" s="550" t="n"/>
      <x:c r="M251" s="550" t="n"/>
      <x:c r="N251" s="550" t="n"/>
      <x:c r="O251" s="545" t="n"/>
      <x:c r="P251" s="545" t="n"/>
      <x:c r="Q251" s="550" t="str">
        <x:f>IF(E251="","",IFERROR(VLOOKUP(E251,'2_Tính giá'!$A$12:$M$51,13,FALSE),""))</x:f>
      </x:c>
      <x:c r="R251" s="550" t="str">
        <x:f>IF(OR(A251="",H251="",Q251=""),"",H251*Q251)</x:f>
      </x:c>
      <x:c r="S251" s="550" t="str">
        <x:f>IF(A251="","",J251+M251-K251-L251)</x:f>
      </x:c>
      <x:c r="T251" s="550" t="str">
        <x:f>IF(A251="","",J251+M251-K251-L251-N251-R251)</x:f>
      </x:c>
      <x:c r="U251" s="545" t="n"/>
      <x:c r="V251" s="545" t="n"/>
    </x:row>
    <x:row r="252">
      <x:c r="A252" s="545" t="n"/>
      <x:c r="B252" s="549" t="n"/>
      <x:c r="C252" s="545" t="n"/>
      <x:c r="D252" s="545" t="n"/>
      <x:c r="E252" s="545" t="n"/>
      <x:c r="F252" s="545" t="n"/>
      <x:c r="G252" s="545" t="n"/>
      <x:c r="H252" s="545" t="n"/>
      <x:c r="I252" s="550" t="n"/>
      <x:c r="J252" s="550" t="str">
        <x:f>IF(A252="","",IFERROR(H252*I252,""))</x:f>
      </x:c>
      <x:c r="K252" s="550" t="n"/>
      <x:c r="L252" s="550" t="n"/>
      <x:c r="M252" s="550" t="n"/>
      <x:c r="N252" s="550" t="n"/>
      <x:c r="O252" s="545" t="n"/>
      <x:c r="P252" s="545" t="n"/>
      <x:c r="Q252" s="550" t="str">
        <x:f>IF(E252="","",IFERROR(VLOOKUP(E252,'2_Tính giá'!$A$12:$M$51,13,FALSE),""))</x:f>
      </x:c>
      <x:c r="R252" s="550" t="str">
        <x:f>IF(OR(A252="",H252="",Q252=""),"",H252*Q252)</x:f>
      </x:c>
      <x:c r="S252" s="550" t="str">
        <x:f>IF(A252="","",J252+M252-K252-L252)</x:f>
      </x:c>
      <x:c r="T252" s="550" t="str">
        <x:f>IF(A252="","",J252+M252-K252-L252-N252-R252)</x:f>
      </x:c>
      <x:c r="U252" s="545" t="n"/>
      <x:c r="V252" s="545" t="n"/>
    </x:row>
    <x:row r="253">
      <x:c r="A253" s="545" t="n"/>
      <x:c r="B253" s="549" t="n"/>
      <x:c r="C253" s="545" t="n"/>
      <x:c r="D253" s="545" t="n"/>
      <x:c r="E253" s="545" t="n"/>
      <x:c r="F253" s="545" t="n"/>
      <x:c r="G253" s="545" t="n"/>
      <x:c r="H253" s="545" t="n"/>
      <x:c r="I253" s="550" t="n"/>
      <x:c r="J253" s="550" t="str">
        <x:f>IF(A253="","",IFERROR(H253*I253,""))</x:f>
      </x:c>
      <x:c r="K253" s="550" t="n"/>
      <x:c r="L253" s="550" t="n"/>
      <x:c r="M253" s="550" t="n"/>
      <x:c r="N253" s="550" t="n"/>
      <x:c r="O253" s="545" t="n"/>
      <x:c r="P253" s="545" t="n"/>
      <x:c r="Q253" s="550" t="str">
        <x:f>IF(E253="","",IFERROR(VLOOKUP(E253,'2_Tính giá'!$A$12:$M$51,13,FALSE),""))</x:f>
      </x:c>
      <x:c r="R253" s="550" t="str">
        <x:f>IF(OR(A253="",H253="",Q253=""),"",H253*Q253)</x:f>
      </x:c>
      <x:c r="S253" s="550" t="str">
        <x:f>IF(A253="","",J253+M253-K253-L253)</x:f>
      </x:c>
      <x:c r="T253" s="550" t="str">
        <x:f>IF(A253="","",J253+M253-K253-L253-N253-R253)</x:f>
      </x:c>
      <x:c r="U253" s="545" t="n"/>
      <x:c r="V253" s="545" t="n"/>
    </x:row>
    <x:row r="254">
      <x:c r="A254" s="545" t="n"/>
      <x:c r="B254" s="549" t="n"/>
      <x:c r="C254" s="545" t="n"/>
      <x:c r="D254" s="545" t="n"/>
      <x:c r="E254" s="545" t="n"/>
      <x:c r="F254" s="545" t="n"/>
      <x:c r="G254" s="545" t="n"/>
      <x:c r="H254" s="545" t="n"/>
      <x:c r="I254" s="550" t="n"/>
      <x:c r="J254" s="550" t="str">
        <x:f>IF(A254="","",IFERROR(H254*I254,""))</x:f>
      </x:c>
      <x:c r="K254" s="550" t="n"/>
      <x:c r="L254" s="550" t="n"/>
      <x:c r="M254" s="550" t="n"/>
      <x:c r="N254" s="550" t="n"/>
      <x:c r="O254" s="545" t="n"/>
      <x:c r="P254" s="545" t="n"/>
      <x:c r="Q254" s="550" t="str">
        <x:f>IF(E254="","",IFERROR(VLOOKUP(E254,'2_Tính giá'!$A$12:$M$51,13,FALSE),""))</x:f>
      </x:c>
      <x:c r="R254" s="550" t="str">
        <x:f>IF(OR(A254="",H254="",Q254=""),"",H254*Q254)</x:f>
      </x:c>
      <x:c r="S254" s="550" t="str">
        <x:f>IF(A254="","",J254+M254-K254-L254)</x:f>
      </x:c>
      <x:c r="T254" s="550" t="str">
        <x:f>IF(A254="","",J254+M254-K254-L254-N254-R254)</x:f>
      </x:c>
      <x:c r="U254" s="545" t="n"/>
      <x:c r="V254" s="545" t="n"/>
    </x:row>
    <x:row r="255">
      <x:c r="A255" s="545" t="n"/>
      <x:c r="B255" s="549" t="n"/>
      <x:c r="C255" s="545" t="n"/>
      <x:c r="D255" s="545" t="n"/>
      <x:c r="E255" s="545" t="n"/>
      <x:c r="F255" s="545" t="n"/>
      <x:c r="G255" s="545" t="n"/>
      <x:c r="H255" s="545" t="n"/>
      <x:c r="I255" s="550" t="n"/>
      <x:c r="J255" s="550" t="str">
        <x:f>IF(A255="","",IFERROR(H255*I255,""))</x:f>
      </x:c>
      <x:c r="K255" s="550" t="n"/>
      <x:c r="L255" s="550" t="n"/>
      <x:c r="M255" s="550" t="n"/>
      <x:c r="N255" s="550" t="n"/>
      <x:c r="O255" s="545" t="n"/>
      <x:c r="P255" s="545" t="n"/>
      <x:c r="Q255" s="550" t="str">
        <x:f>IF(E255="","",IFERROR(VLOOKUP(E255,'2_Tính giá'!$A$12:$M$51,13,FALSE),""))</x:f>
      </x:c>
      <x:c r="R255" s="550" t="str">
        <x:f>IF(OR(A255="",H255="",Q255=""),"",H255*Q255)</x:f>
      </x:c>
      <x:c r="S255" s="550" t="str">
        <x:f>IF(A255="","",J255+M255-K255-L255)</x:f>
      </x:c>
      <x:c r="T255" s="550" t="str">
        <x:f>IF(A255="","",J255+M255-K255-L255-N255-R255)</x:f>
      </x:c>
      <x:c r="U255" s="545" t="n"/>
      <x:c r="V255" s="545" t="n"/>
    </x:row>
    <x:row r="256">
      <x:c r="A256" s="545" t="n"/>
      <x:c r="B256" s="549" t="n"/>
      <x:c r="C256" s="545" t="n"/>
      <x:c r="D256" s="545" t="n"/>
      <x:c r="E256" s="545" t="n"/>
      <x:c r="F256" s="545" t="n"/>
      <x:c r="G256" s="545" t="n"/>
      <x:c r="H256" s="545" t="n"/>
      <x:c r="I256" s="550" t="n"/>
      <x:c r="J256" s="550" t="str">
        <x:f>IF(A256="","",IFERROR(H256*I256,""))</x:f>
      </x:c>
      <x:c r="K256" s="550" t="n"/>
      <x:c r="L256" s="550" t="n"/>
      <x:c r="M256" s="550" t="n"/>
      <x:c r="N256" s="550" t="n"/>
      <x:c r="O256" s="545" t="n"/>
      <x:c r="P256" s="545" t="n"/>
      <x:c r="Q256" s="550" t="str">
        <x:f>IF(E256="","",IFERROR(VLOOKUP(E256,'2_Tính giá'!$A$12:$M$51,13,FALSE),""))</x:f>
      </x:c>
      <x:c r="R256" s="550" t="str">
        <x:f>IF(OR(A256="",H256="",Q256=""),"",H256*Q256)</x:f>
      </x:c>
      <x:c r="S256" s="550" t="str">
        <x:f>IF(A256="","",J256+M256-K256-L256)</x:f>
      </x:c>
      <x:c r="T256" s="550" t="str">
        <x:f>IF(A256="","",J256+M256-K256-L256-N256-R256)</x:f>
      </x:c>
      <x:c r="U256" s="545" t="n"/>
      <x:c r="V256" s="545" t="n"/>
    </x:row>
    <x:row r="257">
      <x:c r="A257" s="545" t="n"/>
      <x:c r="B257" s="549" t="n"/>
      <x:c r="C257" s="545" t="n"/>
      <x:c r="D257" s="545" t="n"/>
      <x:c r="E257" s="545" t="n"/>
      <x:c r="F257" s="545" t="n"/>
      <x:c r="G257" s="545" t="n"/>
      <x:c r="H257" s="545" t="n"/>
      <x:c r="I257" s="550" t="n"/>
      <x:c r="J257" s="550" t="str">
        <x:f>IF(A257="","",IFERROR(H257*I257,""))</x:f>
      </x:c>
      <x:c r="K257" s="550" t="n"/>
      <x:c r="L257" s="550" t="n"/>
      <x:c r="M257" s="550" t="n"/>
      <x:c r="N257" s="550" t="n"/>
      <x:c r="O257" s="545" t="n"/>
      <x:c r="P257" s="545" t="n"/>
      <x:c r="Q257" s="550" t="str">
        <x:f>IF(E257="","",IFERROR(VLOOKUP(E257,'2_Tính giá'!$A$12:$M$51,13,FALSE),""))</x:f>
      </x:c>
      <x:c r="R257" s="550" t="str">
        <x:f>IF(OR(A257="",H257="",Q257=""),"",H257*Q257)</x:f>
      </x:c>
      <x:c r="S257" s="550" t="str">
        <x:f>IF(A257="","",J257+M257-K257-L257)</x:f>
      </x:c>
      <x:c r="T257" s="550" t="str">
        <x:f>IF(A257="","",J257+M257-K257-L257-N257-R257)</x:f>
      </x:c>
      <x:c r="U257" s="545" t="n"/>
      <x:c r="V257" s="545" t="n"/>
    </x:row>
    <x:row r="258">
      <x:c r="A258" s="545" t="n"/>
      <x:c r="B258" s="549" t="n"/>
      <x:c r="C258" s="545" t="n"/>
      <x:c r="D258" s="545" t="n"/>
      <x:c r="E258" s="545" t="n"/>
      <x:c r="F258" s="545" t="n"/>
      <x:c r="G258" s="545" t="n"/>
      <x:c r="H258" s="545" t="n"/>
      <x:c r="I258" s="550" t="n"/>
      <x:c r="J258" s="550" t="str">
        <x:f>IF(A258="","",IFERROR(H258*I258,""))</x:f>
      </x:c>
      <x:c r="K258" s="550" t="n"/>
      <x:c r="L258" s="550" t="n"/>
      <x:c r="M258" s="550" t="n"/>
      <x:c r="N258" s="550" t="n"/>
      <x:c r="O258" s="545" t="n"/>
      <x:c r="P258" s="545" t="n"/>
      <x:c r="Q258" s="550" t="str">
        <x:f>IF(E258="","",IFERROR(VLOOKUP(E258,'2_Tính giá'!$A$12:$M$51,13,FALSE),""))</x:f>
      </x:c>
      <x:c r="R258" s="550" t="str">
        <x:f>IF(OR(A258="",H258="",Q258=""),"",H258*Q258)</x:f>
      </x:c>
      <x:c r="S258" s="550" t="str">
        <x:f>IF(A258="","",J258+M258-K258-L258)</x:f>
      </x:c>
      <x:c r="T258" s="550" t="str">
        <x:f>IF(A258="","",J258+M258-K258-L258-N258-R258)</x:f>
      </x:c>
      <x:c r="U258" s="545" t="n"/>
      <x:c r="V258" s="545" t="n"/>
    </x:row>
    <x:row r="259">
      <x:c r="A259" s="545" t="n"/>
      <x:c r="B259" s="549" t="n"/>
      <x:c r="C259" s="545" t="n"/>
      <x:c r="D259" s="545" t="n"/>
      <x:c r="E259" s="545" t="n"/>
      <x:c r="F259" s="545" t="n"/>
      <x:c r="G259" s="545" t="n"/>
      <x:c r="H259" s="545" t="n"/>
      <x:c r="I259" s="550" t="n"/>
      <x:c r="J259" s="550" t="str">
        <x:f>IF(A259="","",IFERROR(H259*I259,""))</x:f>
      </x:c>
      <x:c r="K259" s="550" t="n"/>
      <x:c r="L259" s="550" t="n"/>
      <x:c r="M259" s="550" t="n"/>
      <x:c r="N259" s="550" t="n"/>
      <x:c r="O259" s="545" t="n"/>
      <x:c r="P259" s="545" t="n"/>
      <x:c r="Q259" s="550" t="str">
        <x:f>IF(E259="","",IFERROR(VLOOKUP(E259,'2_Tính giá'!$A$12:$M$51,13,FALSE),""))</x:f>
      </x:c>
      <x:c r="R259" s="550" t="str">
        <x:f>IF(OR(A259="",H259="",Q259=""),"",H259*Q259)</x:f>
      </x:c>
      <x:c r="S259" s="550" t="str">
        <x:f>IF(A259="","",J259+M259-K259-L259)</x:f>
      </x:c>
      <x:c r="T259" s="550" t="str">
        <x:f>IF(A259="","",J259+M259-K259-L259-N259-R259)</x:f>
      </x:c>
      <x:c r="U259" s="545" t="n"/>
      <x:c r="V259" s="545" t="n"/>
    </x:row>
    <x:row r="260">
      <x:c r="A260" s="545" t="n"/>
      <x:c r="B260" s="549" t="n"/>
      <x:c r="C260" s="545" t="n"/>
      <x:c r="D260" s="545" t="n"/>
      <x:c r="E260" s="545" t="n"/>
      <x:c r="F260" s="545" t="n"/>
      <x:c r="G260" s="545" t="n"/>
      <x:c r="H260" s="545" t="n"/>
      <x:c r="I260" s="550" t="n"/>
      <x:c r="J260" s="550" t="str">
        <x:f>IF(A260="","",IFERROR(H260*I260,""))</x:f>
      </x:c>
      <x:c r="K260" s="550" t="n"/>
      <x:c r="L260" s="550" t="n"/>
      <x:c r="M260" s="550" t="n"/>
      <x:c r="N260" s="550" t="n"/>
      <x:c r="O260" s="545" t="n"/>
      <x:c r="P260" s="545" t="n"/>
      <x:c r="Q260" s="550" t="str">
        <x:f>IF(E260="","",IFERROR(VLOOKUP(E260,'2_Tính giá'!$A$12:$M$51,13,FALSE),""))</x:f>
      </x:c>
      <x:c r="R260" s="550" t="str">
        <x:f>IF(OR(A260="",H260="",Q260=""),"",H260*Q260)</x:f>
      </x:c>
      <x:c r="S260" s="550" t="str">
        <x:f>IF(A260="","",J260+M260-K260-L260)</x:f>
      </x:c>
      <x:c r="T260" s="550" t="str">
        <x:f>IF(A260="","",J260+M260-K260-L260-N260-R260)</x:f>
      </x:c>
      <x:c r="U260" s="545" t="n"/>
      <x:c r="V260" s="545" t="n"/>
    </x:row>
    <x:row r="261">
      <x:c r="A261" s="545" t="n"/>
      <x:c r="B261" s="549" t="n"/>
      <x:c r="C261" s="545" t="n"/>
      <x:c r="D261" s="545" t="n"/>
      <x:c r="E261" s="545" t="n"/>
      <x:c r="F261" s="545" t="n"/>
      <x:c r="G261" s="545" t="n"/>
      <x:c r="H261" s="545" t="n"/>
      <x:c r="I261" s="550" t="n"/>
      <x:c r="J261" s="550" t="str">
        <x:f>IF(A261="","",IFERROR(H261*I261,""))</x:f>
      </x:c>
      <x:c r="K261" s="550" t="n"/>
      <x:c r="L261" s="550" t="n"/>
      <x:c r="M261" s="550" t="n"/>
      <x:c r="N261" s="550" t="n"/>
      <x:c r="O261" s="545" t="n"/>
      <x:c r="P261" s="545" t="n"/>
      <x:c r="Q261" s="550" t="str">
        <x:f>IF(E261="","",IFERROR(VLOOKUP(E261,'2_Tính giá'!$A$12:$M$51,13,FALSE),""))</x:f>
      </x:c>
      <x:c r="R261" s="550" t="str">
        <x:f>IF(OR(A261="",H261="",Q261=""),"",H261*Q261)</x:f>
      </x:c>
      <x:c r="S261" s="550" t="str">
        <x:f>IF(A261="","",J261+M261-K261-L261)</x:f>
      </x:c>
      <x:c r="T261" s="550" t="str">
        <x:f>IF(A261="","",J261+M261-K261-L261-N261-R261)</x:f>
      </x:c>
      <x:c r="U261" s="545" t="n"/>
      <x:c r="V261" s="545" t="n"/>
    </x:row>
    <x:row r="262">
      <x:c r="A262" s="545" t="n"/>
      <x:c r="B262" s="549" t="n"/>
      <x:c r="C262" s="545" t="n"/>
      <x:c r="D262" s="545" t="n"/>
      <x:c r="E262" s="545" t="n"/>
      <x:c r="F262" s="545" t="n"/>
      <x:c r="G262" s="545" t="n"/>
      <x:c r="H262" s="545" t="n"/>
      <x:c r="I262" s="550" t="n"/>
      <x:c r="J262" s="550" t="str">
        <x:f>IF(A262="","",IFERROR(H262*I262,""))</x:f>
      </x:c>
      <x:c r="K262" s="550" t="n"/>
      <x:c r="L262" s="550" t="n"/>
      <x:c r="M262" s="550" t="n"/>
      <x:c r="N262" s="550" t="n"/>
      <x:c r="O262" s="545" t="n"/>
      <x:c r="P262" s="545" t="n"/>
      <x:c r="Q262" s="550" t="str">
        <x:f>IF(E262="","",IFERROR(VLOOKUP(E262,'2_Tính giá'!$A$12:$M$51,13,FALSE),""))</x:f>
      </x:c>
      <x:c r="R262" s="550" t="str">
        <x:f>IF(OR(A262="",H262="",Q262=""),"",H262*Q262)</x:f>
      </x:c>
      <x:c r="S262" s="550" t="str">
        <x:f>IF(A262="","",J262+M262-K262-L262)</x:f>
      </x:c>
      <x:c r="T262" s="550" t="str">
        <x:f>IF(A262="","",J262+M262-K262-L262-N262-R262)</x:f>
      </x:c>
      <x:c r="U262" s="545" t="n"/>
      <x:c r="V262" s="545" t="n"/>
    </x:row>
    <x:row r="263">
      <x:c r="A263" s="545" t="n"/>
      <x:c r="B263" s="549" t="n"/>
      <x:c r="C263" s="545" t="n"/>
      <x:c r="D263" s="545" t="n"/>
      <x:c r="E263" s="545" t="n"/>
      <x:c r="F263" s="545" t="n"/>
      <x:c r="G263" s="545" t="n"/>
      <x:c r="H263" s="545" t="n"/>
      <x:c r="I263" s="550" t="n"/>
      <x:c r="J263" s="550" t="str">
        <x:f>IF(A263="","",IFERROR(H263*I263,""))</x:f>
      </x:c>
      <x:c r="K263" s="550" t="n"/>
      <x:c r="L263" s="550" t="n"/>
      <x:c r="M263" s="550" t="n"/>
      <x:c r="N263" s="550" t="n"/>
      <x:c r="O263" s="545" t="n"/>
      <x:c r="P263" s="545" t="n"/>
      <x:c r="Q263" s="550" t="str">
        <x:f>IF(E263="","",IFERROR(VLOOKUP(E263,'2_Tính giá'!$A$12:$M$51,13,FALSE),""))</x:f>
      </x:c>
      <x:c r="R263" s="550" t="str">
        <x:f>IF(OR(A263="",H263="",Q263=""),"",H263*Q263)</x:f>
      </x:c>
      <x:c r="S263" s="550" t="str">
        <x:f>IF(A263="","",J263+M263-K263-L263)</x:f>
      </x:c>
      <x:c r="T263" s="550" t="str">
        <x:f>IF(A263="","",J263+M263-K263-L263-N263-R263)</x:f>
      </x:c>
      <x:c r="U263" s="545" t="n"/>
      <x:c r="V263" s="545" t="n"/>
    </x:row>
    <x:row r="264">
      <x:c r="A264" s="545" t="n"/>
      <x:c r="B264" s="549" t="n"/>
      <x:c r="C264" s="545" t="n"/>
      <x:c r="D264" s="545" t="n"/>
      <x:c r="E264" s="545" t="n"/>
      <x:c r="F264" s="545" t="n"/>
      <x:c r="G264" s="545" t="n"/>
      <x:c r="H264" s="545" t="n"/>
      <x:c r="I264" s="550" t="n"/>
      <x:c r="J264" s="550" t="str">
        <x:f>IF(A264="","",IFERROR(H264*I264,""))</x:f>
      </x:c>
      <x:c r="K264" s="550" t="n"/>
      <x:c r="L264" s="550" t="n"/>
      <x:c r="M264" s="550" t="n"/>
      <x:c r="N264" s="550" t="n"/>
      <x:c r="O264" s="545" t="n"/>
      <x:c r="P264" s="545" t="n"/>
      <x:c r="Q264" s="550" t="str">
        <x:f>IF(E264="","",IFERROR(VLOOKUP(E264,'2_Tính giá'!$A$12:$M$51,13,FALSE),""))</x:f>
      </x:c>
      <x:c r="R264" s="550" t="str">
        <x:f>IF(OR(A264="",H264="",Q264=""),"",H264*Q264)</x:f>
      </x:c>
      <x:c r="S264" s="550" t="str">
        <x:f>IF(A264="","",J264+M264-K264-L264)</x:f>
      </x:c>
      <x:c r="T264" s="550" t="str">
        <x:f>IF(A264="","",J264+M264-K264-L264-N264-R264)</x:f>
      </x:c>
      <x:c r="U264" s="545" t="n"/>
      <x:c r="V264" s="545" t="n"/>
    </x:row>
    <x:row r="265">
      <x:c r="A265" s="545" t="n"/>
      <x:c r="B265" s="549" t="n"/>
      <x:c r="C265" s="545" t="n"/>
      <x:c r="D265" s="545" t="n"/>
      <x:c r="E265" s="545" t="n"/>
      <x:c r="F265" s="545" t="n"/>
      <x:c r="G265" s="545" t="n"/>
      <x:c r="H265" s="545" t="n"/>
      <x:c r="I265" s="550" t="n"/>
      <x:c r="J265" s="550" t="str">
        <x:f>IF(A265="","",IFERROR(H265*I265,""))</x:f>
      </x:c>
      <x:c r="K265" s="550" t="n"/>
      <x:c r="L265" s="550" t="n"/>
      <x:c r="M265" s="550" t="n"/>
      <x:c r="N265" s="550" t="n"/>
      <x:c r="O265" s="545" t="n"/>
      <x:c r="P265" s="545" t="n"/>
      <x:c r="Q265" s="550" t="str">
        <x:f>IF(E265="","",IFERROR(VLOOKUP(E265,'2_Tính giá'!$A$12:$M$51,13,FALSE),""))</x:f>
      </x:c>
      <x:c r="R265" s="550" t="str">
        <x:f>IF(OR(A265="",H265="",Q265=""),"",H265*Q265)</x:f>
      </x:c>
      <x:c r="S265" s="550" t="str">
        <x:f>IF(A265="","",J265+M265-K265-L265)</x:f>
      </x:c>
      <x:c r="T265" s="550" t="str">
        <x:f>IF(A265="","",J265+M265-K265-L265-N265-R265)</x:f>
      </x:c>
      <x:c r="U265" s="545" t="n"/>
      <x:c r="V265" s="545" t="n"/>
    </x:row>
    <x:row r="266">
      <x:c r="A266" s="545" t="n"/>
      <x:c r="B266" s="549" t="n"/>
      <x:c r="C266" s="545" t="n"/>
      <x:c r="D266" s="545" t="n"/>
      <x:c r="E266" s="545" t="n"/>
      <x:c r="F266" s="545" t="n"/>
      <x:c r="G266" s="545" t="n"/>
      <x:c r="H266" s="545" t="n"/>
      <x:c r="I266" s="550" t="n"/>
      <x:c r="J266" s="550" t="str">
        <x:f>IF(A266="","",IFERROR(H266*I266,""))</x:f>
      </x:c>
      <x:c r="K266" s="550" t="n"/>
      <x:c r="L266" s="550" t="n"/>
      <x:c r="M266" s="550" t="n"/>
      <x:c r="N266" s="550" t="n"/>
      <x:c r="O266" s="545" t="n"/>
      <x:c r="P266" s="545" t="n"/>
      <x:c r="Q266" s="550" t="str">
        <x:f>IF(E266="","",IFERROR(VLOOKUP(E266,'2_Tính giá'!$A$12:$M$51,13,FALSE),""))</x:f>
      </x:c>
      <x:c r="R266" s="550" t="str">
        <x:f>IF(OR(A266="",H266="",Q266=""),"",H266*Q266)</x:f>
      </x:c>
      <x:c r="S266" s="550" t="str">
        <x:f>IF(A266="","",J266+M266-K266-L266)</x:f>
      </x:c>
      <x:c r="T266" s="550" t="str">
        <x:f>IF(A266="","",J266+M266-K266-L266-N266-R266)</x:f>
      </x:c>
      <x:c r="U266" s="545" t="n"/>
      <x:c r="V266" s="545" t="n"/>
    </x:row>
    <x:row r="267">
      <x:c r="A267" s="545" t="n"/>
      <x:c r="B267" s="549" t="n"/>
      <x:c r="C267" s="545" t="n"/>
      <x:c r="D267" s="545" t="n"/>
      <x:c r="E267" s="545" t="n"/>
      <x:c r="F267" s="545" t="n"/>
      <x:c r="G267" s="545" t="n"/>
      <x:c r="H267" s="545" t="n"/>
      <x:c r="I267" s="550" t="n"/>
      <x:c r="J267" s="550" t="str">
        <x:f>IF(A267="","",IFERROR(H267*I267,""))</x:f>
      </x:c>
      <x:c r="K267" s="550" t="n"/>
      <x:c r="L267" s="550" t="n"/>
      <x:c r="M267" s="550" t="n"/>
      <x:c r="N267" s="550" t="n"/>
      <x:c r="O267" s="545" t="n"/>
      <x:c r="P267" s="545" t="n"/>
      <x:c r="Q267" s="550" t="str">
        <x:f>IF(E267="","",IFERROR(VLOOKUP(E267,'2_Tính giá'!$A$12:$M$51,13,FALSE),""))</x:f>
      </x:c>
      <x:c r="R267" s="550" t="str">
        <x:f>IF(OR(A267="",H267="",Q267=""),"",H267*Q267)</x:f>
      </x:c>
      <x:c r="S267" s="550" t="str">
        <x:f>IF(A267="","",J267+M267-K267-L267)</x:f>
      </x:c>
      <x:c r="T267" s="550" t="str">
        <x:f>IF(A267="","",J267+M267-K267-L267-N267-R267)</x:f>
      </x:c>
      <x:c r="U267" s="545" t="n"/>
      <x:c r="V267" s="545" t="n"/>
    </x:row>
    <x:row r="268">
      <x:c r="A268" s="545" t="n"/>
      <x:c r="B268" s="549" t="n"/>
      <x:c r="C268" s="545" t="n"/>
      <x:c r="D268" s="545" t="n"/>
      <x:c r="E268" s="545" t="n"/>
      <x:c r="F268" s="545" t="n"/>
      <x:c r="G268" s="545" t="n"/>
      <x:c r="H268" s="545" t="n"/>
      <x:c r="I268" s="550" t="n"/>
      <x:c r="J268" s="550" t="str">
        <x:f>IF(A268="","",IFERROR(H268*I268,""))</x:f>
      </x:c>
      <x:c r="K268" s="550" t="n"/>
      <x:c r="L268" s="550" t="n"/>
      <x:c r="M268" s="550" t="n"/>
      <x:c r="N268" s="550" t="n"/>
      <x:c r="O268" s="545" t="n"/>
      <x:c r="P268" s="545" t="n"/>
      <x:c r="Q268" s="550" t="str">
        <x:f>IF(E268="","",IFERROR(VLOOKUP(E268,'2_Tính giá'!$A$12:$M$51,13,FALSE),""))</x:f>
      </x:c>
      <x:c r="R268" s="550" t="str">
        <x:f>IF(OR(A268="",H268="",Q268=""),"",H268*Q268)</x:f>
      </x:c>
      <x:c r="S268" s="550" t="str">
        <x:f>IF(A268="","",J268+M268-K268-L268)</x:f>
      </x:c>
      <x:c r="T268" s="550" t="str">
        <x:f>IF(A268="","",J268+M268-K268-L268-N268-R268)</x:f>
      </x:c>
      <x:c r="U268" s="545" t="n"/>
      <x:c r="V268" s="545" t="n"/>
    </x:row>
    <x:row r="269">
      <x:c r="A269" s="545" t="n"/>
      <x:c r="B269" s="549" t="n"/>
      <x:c r="C269" s="545" t="n"/>
      <x:c r="D269" s="545" t="n"/>
      <x:c r="E269" s="545" t="n"/>
      <x:c r="F269" s="545" t="n"/>
      <x:c r="G269" s="545" t="n"/>
      <x:c r="H269" s="545" t="n"/>
      <x:c r="I269" s="550" t="n"/>
      <x:c r="J269" s="550" t="str">
        <x:f>IF(A269="","",IFERROR(H269*I269,""))</x:f>
      </x:c>
      <x:c r="K269" s="550" t="n"/>
      <x:c r="L269" s="550" t="n"/>
      <x:c r="M269" s="550" t="n"/>
      <x:c r="N269" s="550" t="n"/>
      <x:c r="O269" s="545" t="n"/>
      <x:c r="P269" s="545" t="n"/>
      <x:c r="Q269" s="550" t="str">
        <x:f>IF(E269="","",IFERROR(VLOOKUP(E269,'2_Tính giá'!$A$12:$M$51,13,FALSE),""))</x:f>
      </x:c>
      <x:c r="R269" s="550" t="str">
        <x:f>IF(OR(A269="",H269="",Q269=""),"",H269*Q269)</x:f>
      </x:c>
      <x:c r="S269" s="550" t="str">
        <x:f>IF(A269="","",J269+M269-K269-L269)</x:f>
      </x:c>
      <x:c r="T269" s="550" t="str">
        <x:f>IF(A269="","",J269+M269-K269-L269-N269-R269)</x:f>
      </x:c>
      <x:c r="U269" s="545" t="n"/>
      <x:c r="V269" s="545" t="n"/>
    </x:row>
    <x:row r="270">
      <x:c r="A270" s="545" t="n"/>
      <x:c r="B270" s="549" t="n"/>
      <x:c r="C270" s="545" t="n"/>
      <x:c r="D270" s="545" t="n"/>
      <x:c r="E270" s="545" t="n"/>
      <x:c r="F270" s="545" t="n"/>
      <x:c r="G270" s="545" t="n"/>
      <x:c r="H270" s="545" t="n"/>
      <x:c r="I270" s="550" t="n"/>
      <x:c r="J270" s="550" t="str">
        <x:f>IF(A270="","",IFERROR(H270*I270,""))</x:f>
      </x:c>
      <x:c r="K270" s="550" t="n"/>
      <x:c r="L270" s="550" t="n"/>
      <x:c r="M270" s="550" t="n"/>
      <x:c r="N270" s="550" t="n"/>
      <x:c r="O270" s="545" t="n"/>
      <x:c r="P270" s="545" t="n"/>
      <x:c r="Q270" s="550" t="str">
        <x:f>IF(E270="","",IFERROR(VLOOKUP(E270,'2_Tính giá'!$A$12:$M$51,13,FALSE),""))</x:f>
      </x:c>
      <x:c r="R270" s="550" t="str">
        <x:f>IF(OR(A270="",H270="",Q270=""),"",H270*Q270)</x:f>
      </x:c>
      <x:c r="S270" s="550" t="str">
        <x:f>IF(A270="","",J270+M270-K270-L270)</x:f>
      </x:c>
      <x:c r="T270" s="550" t="str">
        <x:f>IF(A270="","",J270+M270-K270-L270-N270-R270)</x:f>
      </x:c>
      <x:c r="U270" s="545" t="n"/>
      <x:c r="V270" s="545" t="n"/>
    </x:row>
    <x:row r="271">
      <x:c r="A271" s="545" t="n"/>
      <x:c r="B271" s="549" t="n"/>
      <x:c r="C271" s="545" t="n"/>
      <x:c r="D271" s="545" t="n"/>
      <x:c r="E271" s="545" t="n"/>
      <x:c r="F271" s="545" t="n"/>
      <x:c r="G271" s="545" t="n"/>
      <x:c r="H271" s="545" t="n"/>
      <x:c r="I271" s="550" t="n"/>
      <x:c r="J271" s="550" t="str">
        <x:f>IF(A271="","",IFERROR(H271*I271,""))</x:f>
      </x:c>
      <x:c r="K271" s="550" t="n"/>
      <x:c r="L271" s="550" t="n"/>
      <x:c r="M271" s="550" t="n"/>
      <x:c r="N271" s="550" t="n"/>
      <x:c r="O271" s="545" t="n"/>
      <x:c r="P271" s="545" t="n"/>
      <x:c r="Q271" s="550" t="str">
        <x:f>IF(E271="","",IFERROR(VLOOKUP(E271,'2_Tính giá'!$A$12:$M$51,13,FALSE),""))</x:f>
      </x:c>
      <x:c r="R271" s="550" t="str">
        <x:f>IF(OR(A271="",H271="",Q271=""),"",H271*Q271)</x:f>
      </x:c>
      <x:c r="S271" s="550" t="str">
        <x:f>IF(A271="","",J271+M271-K271-L271)</x:f>
      </x:c>
      <x:c r="T271" s="550" t="str">
        <x:f>IF(A271="","",J271+M271-K271-L271-N271-R271)</x:f>
      </x:c>
      <x:c r="U271" s="545" t="n"/>
      <x:c r="V271" s="545" t="n"/>
    </x:row>
    <x:row r="272">
      <x:c r="A272" s="545" t="n"/>
      <x:c r="B272" s="549" t="n"/>
      <x:c r="C272" s="545" t="n"/>
      <x:c r="D272" s="545" t="n"/>
      <x:c r="E272" s="545" t="n"/>
      <x:c r="F272" s="545" t="n"/>
      <x:c r="G272" s="545" t="n"/>
      <x:c r="H272" s="545" t="n"/>
      <x:c r="I272" s="550" t="n"/>
      <x:c r="J272" s="550" t="str">
        <x:f>IF(A272="","",IFERROR(H272*I272,""))</x:f>
      </x:c>
      <x:c r="K272" s="550" t="n"/>
      <x:c r="L272" s="550" t="n"/>
      <x:c r="M272" s="550" t="n"/>
      <x:c r="N272" s="550" t="n"/>
      <x:c r="O272" s="545" t="n"/>
      <x:c r="P272" s="545" t="n"/>
      <x:c r="Q272" s="550" t="str">
        <x:f>IF(E272="","",IFERROR(VLOOKUP(E272,'2_Tính giá'!$A$12:$M$51,13,FALSE),""))</x:f>
      </x:c>
      <x:c r="R272" s="550" t="str">
        <x:f>IF(OR(A272="",H272="",Q272=""),"",H272*Q272)</x:f>
      </x:c>
      <x:c r="S272" s="550" t="str">
        <x:f>IF(A272="","",J272+M272-K272-L272)</x:f>
      </x:c>
      <x:c r="T272" s="550" t="str">
        <x:f>IF(A272="","",J272+M272-K272-L272-N272-R272)</x:f>
      </x:c>
      <x:c r="U272" s="545" t="n"/>
      <x:c r="V272" s="545" t="n"/>
    </x:row>
    <x:row r="273">
      <x:c r="A273" s="545" t="n"/>
      <x:c r="B273" s="549" t="n"/>
      <x:c r="C273" s="545" t="n"/>
      <x:c r="D273" s="545" t="n"/>
      <x:c r="E273" s="545" t="n"/>
      <x:c r="F273" s="545" t="n"/>
      <x:c r="G273" s="545" t="n"/>
      <x:c r="H273" s="545" t="n"/>
      <x:c r="I273" s="550" t="n"/>
      <x:c r="J273" s="550" t="str">
        <x:f>IF(A273="","",IFERROR(H273*I273,""))</x:f>
      </x:c>
      <x:c r="K273" s="550" t="n"/>
      <x:c r="L273" s="550" t="n"/>
      <x:c r="M273" s="550" t="n"/>
      <x:c r="N273" s="550" t="n"/>
      <x:c r="O273" s="545" t="n"/>
      <x:c r="P273" s="545" t="n"/>
      <x:c r="Q273" s="550" t="str">
        <x:f>IF(E273="","",IFERROR(VLOOKUP(E273,'2_Tính giá'!$A$12:$M$51,13,FALSE),""))</x:f>
      </x:c>
      <x:c r="R273" s="550" t="str">
        <x:f>IF(OR(A273="",H273="",Q273=""),"",H273*Q273)</x:f>
      </x:c>
      <x:c r="S273" s="550" t="str">
        <x:f>IF(A273="","",J273+M273-K273-L273)</x:f>
      </x:c>
      <x:c r="T273" s="550" t="str">
        <x:f>IF(A273="","",J273+M273-K273-L273-N273-R273)</x:f>
      </x:c>
      <x:c r="U273" s="545" t="n"/>
      <x:c r="V273" s="545" t="n"/>
    </x:row>
    <x:row r="274">
      <x:c r="A274" s="545" t="n"/>
      <x:c r="B274" s="549" t="n"/>
      <x:c r="C274" s="545" t="n"/>
      <x:c r="D274" s="545" t="n"/>
      <x:c r="E274" s="545" t="n"/>
      <x:c r="F274" s="545" t="n"/>
      <x:c r="G274" s="545" t="n"/>
      <x:c r="H274" s="545" t="n"/>
      <x:c r="I274" s="550" t="n"/>
      <x:c r="J274" s="550" t="str">
        <x:f>IF(A274="","",IFERROR(H274*I274,""))</x:f>
      </x:c>
      <x:c r="K274" s="550" t="n"/>
      <x:c r="L274" s="550" t="n"/>
      <x:c r="M274" s="550" t="n"/>
      <x:c r="N274" s="550" t="n"/>
      <x:c r="O274" s="545" t="n"/>
      <x:c r="P274" s="545" t="n"/>
      <x:c r="Q274" s="550" t="str">
        <x:f>IF(E274="","",IFERROR(VLOOKUP(E274,'2_Tính giá'!$A$12:$M$51,13,FALSE),""))</x:f>
      </x:c>
      <x:c r="R274" s="550" t="str">
        <x:f>IF(OR(A274="",H274="",Q274=""),"",H274*Q274)</x:f>
      </x:c>
      <x:c r="S274" s="550" t="str">
        <x:f>IF(A274="","",J274+M274-K274-L274)</x:f>
      </x:c>
      <x:c r="T274" s="550" t="str">
        <x:f>IF(A274="","",J274+M274-K274-L274-N274-R274)</x:f>
      </x:c>
      <x:c r="U274" s="545" t="n"/>
      <x:c r="V274" s="545" t="n"/>
    </x:row>
    <x:row r="275">
      <x:c r="A275" s="545" t="n"/>
      <x:c r="B275" s="549" t="n"/>
      <x:c r="C275" s="545" t="n"/>
      <x:c r="D275" s="545" t="n"/>
      <x:c r="E275" s="545" t="n"/>
      <x:c r="F275" s="545" t="n"/>
      <x:c r="G275" s="545" t="n"/>
      <x:c r="H275" s="545" t="n"/>
      <x:c r="I275" s="550" t="n"/>
      <x:c r="J275" s="550" t="str">
        <x:f>IF(A275="","",IFERROR(H275*I275,""))</x:f>
      </x:c>
      <x:c r="K275" s="550" t="n"/>
      <x:c r="L275" s="550" t="n"/>
      <x:c r="M275" s="550" t="n"/>
      <x:c r="N275" s="550" t="n"/>
      <x:c r="O275" s="545" t="n"/>
      <x:c r="P275" s="545" t="n"/>
      <x:c r="Q275" s="550" t="str">
        <x:f>IF(E275="","",IFERROR(VLOOKUP(E275,'2_Tính giá'!$A$12:$M$51,13,FALSE),""))</x:f>
      </x:c>
      <x:c r="R275" s="550" t="str">
        <x:f>IF(OR(A275="",H275="",Q275=""),"",H275*Q275)</x:f>
      </x:c>
      <x:c r="S275" s="550" t="str">
        <x:f>IF(A275="","",J275+M275-K275-L275)</x:f>
      </x:c>
      <x:c r="T275" s="550" t="str">
        <x:f>IF(A275="","",J275+M275-K275-L275-N275-R275)</x:f>
      </x:c>
      <x:c r="U275" s="545" t="n"/>
      <x:c r="V275" s="545" t="n"/>
    </x:row>
    <x:row r="276">
      <x:c r="A276" s="545" t="n"/>
      <x:c r="B276" s="549" t="n"/>
      <x:c r="C276" s="545" t="n"/>
      <x:c r="D276" s="545" t="n"/>
      <x:c r="E276" s="545" t="n"/>
      <x:c r="F276" s="545" t="n"/>
      <x:c r="G276" s="545" t="n"/>
      <x:c r="H276" s="545" t="n"/>
      <x:c r="I276" s="550" t="n"/>
      <x:c r="J276" s="550" t="str">
        <x:f>IF(A276="","",IFERROR(H276*I276,""))</x:f>
      </x:c>
      <x:c r="K276" s="550" t="n"/>
      <x:c r="L276" s="550" t="n"/>
      <x:c r="M276" s="550" t="n"/>
      <x:c r="N276" s="550" t="n"/>
      <x:c r="O276" s="545" t="n"/>
      <x:c r="P276" s="545" t="n"/>
      <x:c r="Q276" s="550" t="str">
        <x:f>IF(E276="","",IFERROR(VLOOKUP(E276,'2_Tính giá'!$A$12:$M$51,13,FALSE),""))</x:f>
      </x:c>
      <x:c r="R276" s="550" t="str">
        <x:f>IF(OR(A276="",H276="",Q276=""),"",H276*Q276)</x:f>
      </x:c>
      <x:c r="S276" s="550" t="str">
        <x:f>IF(A276="","",J276+M276-K276-L276)</x:f>
      </x:c>
      <x:c r="T276" s="550" t="str">
        <x:f>IF(A276="","",J276+M276-K276-L276-N276-R276)</x:f>
      </x:c>
      <x:c r="U276" s="545" t="n"/>
      <x:c r="V276" s="545" t="n"/>
    </x:row>
    <x:row r="277">
      <x:c r="A277" s="545" t="n"/>
      <x:c r="B277" s="549" t="n"/>
      <x:c r="C277" s="545" t="n"/>
      <x:c r="D277" s="545" t="n"/>
      <x:c r="E277" s="545" t="n"/>
      <x:c r="F277" s="545" t="n"/>
      <x:c r="G277" s="545" t="n"/>
      <x:c r="H277" s="545" t="n"/>
      <x:c r="I277" s="550" t="n"/>
      <x:c r="J277" s="550" t="str">
        <x:f>IF(A277="","",IFERROR(H277*I277,""))</x:f>
      </x:c>
      <x:c r="K277" s="550" t="n"/>
      <x:c r="L277" s="550" t="n"/>
      <x:c r="M277" s="550" t="n"/>
      <x:c r="N277" s="550" t="n"/>
      <x:c r="O277" s="545" t="n"/>
      <x:c r="P277" s="545" t="n"/>
      <x:c r="Q277" s="550" t="str">
        <x:f>IF(E277="","",IFERROR(VLOOKUP(E277,'2_Tính giá'!$A$12:$M$51,13,FALSE),""))</x:f>
      </x:c>
      <x:c r="R277" s="550" t="str">
        <x:f>IF(OR(A277="",H277="",Q277=""),"",H277*Q277)</x:f>
      </x:c>
      <x:c r="S277" s="550" t="str">
        <x:f>IF(A277="","",J277+M277-K277-L277)</x:f>
      </x:c>
      <x:c r="T277" s="550" t="str">
        <x:f>IF(A277="","",J277+M277-K277-L277-N277-R277)</x:f>
      </x:c>
      <x:c r="U277" s="545" t="n"/>
      <x:c r="V277" s="545" t="n"/>
    </x:row>
    <x:row r="278">
      <x:c r="A278" s="545" t="n"/>
      <x:c r="B278" s="549" t="n"/>
      <x:c r="C278" s="545" t="n"/>
      <x:c r="D278" s="545" t="n"/>
      <x:c r="E278" s="545" t="n"/>
      <x:c r="F278" s="545" t="n"/>
      <x:c r="G278" s="545" t="n"/>
      <x:c r="H278" s="545" t="n"/>
      <x:c r="I278" s="550" t="n"/>
      <x:c r="J278" s="550" t="str">
        <x:f>IF(A278="","",IFERROR(H278*I278,""))</x:f>
      </x:c>
      <x:c r="K278" s="550" t="n"/>
      <x:c r="L278" s="550" t="n"/>
      <x:c r="M278" s="550" t="n"/>
      <x:c r="N278" s="550" t="n"/>
      <x:c r="O278" s="545" t="n"/>
      <x:c r="P278" s="545" t="n"/>
      <x:c r="Q278" s="550" t="str">
        <x:f>IF(E278="","",IFERROR(VLOOKUP(E278,'2_Tính giá'!$A$12:$M$51,13,FALSE),""))</x:f>
      </x:c>
      <x:c r="R278" s="550" t="str">
        <x:f>IF(OR(A278="",H278="",Q278=""),"",H278*Q278)</x:f>
      </x:c>
      <x:c r="S278" s="550" t="str">
        <x:f>IF(A278="","",J278+M278-K278-L278)</x:f>
      </x:c>
      <x:c r="T278" s="550" t="str">
        <x:f>IF(A278="","",J278+M278-K278-L278-N278-R278)</x:f>
      </x:c>
      <x:c r="U278" s="545" t="n"/>
      <x:c r="V278" s="545" t="n"/>
    </x:row>
    <x:row r="279">
      <x:c r="A279" s="545" t="n"/>
      <x:c r="B279" s="549" t="n"/>
      <x:c r="C279" s="545" t="n"/>
      <x:c r="D279" s="545" t="n"/>
      <x:c r="E279" s="545" t="n"/>
      <x:c r="F279" s="545" t="n"/>
      <x:c r="G279" s="545" t="n"/>
      <x:c r="H279" s="545" t="n"/>
      <x:c r="I279" s="550" t="n"/>
      <x:c r="J279" s="550" t="str">
        <x:f>IF(A279="","",IFERROR(H279*I279,""))</x:f>
      </x:c>
      <x:c r="K279" s="550" t="n"/>
      <x:c r="L279" s="550" t="n"/>
      <x:c r="M279" s="550" t="n"/>
      <x:c r="N279" s="550" t="n"/>
      <x:c r="O279" s="545" t="n"/>
      <x:c r="P279" s="545" t="n"/>
      <x:c r="Q279" s="550" t="str">
        <x:f>IF(E279="","",IFERROR(VLOOKUP(E279,'2_Tính giá'!$A$12:$M$51,13,FALSE),""))</x:f>
      </x:c>
      <x:c r="R279" s="550" t="str">
        <x:f>IF(OR(A279="",H279="",Q279=""),"",H279*Q279)</x:f>
      </x:c>
      <x:c r="S279" s="550" t="str">
        <x:f>IF(A279="","",J279+M279-K279-L279)</x:f>
      </x:c>
      <x:c r="T279" s="550" t="str">
        <x:f>IF(A279="","",J279+M279-K279-L279-N279-R279)</x:f>
      </x:c>
      <x:c r="U279" s="545" t="n"/>
      <x:c r="V279" s="545" t="n"/>
    </x:row>
    <x:row r="280">
      <x:c r="A280" s="545" t="n"/>
      <x:c r="B280" s="549" t="n"/>
      <x:c r="C280" s="545" t="n"/>
      <x:c r="D280" s="545" t="n"/>
      <x:c r="E280" s="545" t="n"/>
      <x:c r="F280" s="545" t="n"/>
      <x:c r="G280" s="545" t="n"/>
      <x:c r="H280" s="545" t="n"/>
      <x:c r="I280" s="550" t="n"/>
      <x:c r="J280" s="550" t="str">
        <x:f>IF(A280="","",IFERROR(H280*I280,""))</x:f>
      </x:c>
      <x:c r="K280" s="550" t="n"/>
      <x:c r="L280" s="550" t="n"/>
      <x:c r="M280" s="550" t="n"/>
      <x:c r="N280" s="550" t="n"/>
      <x:c r="O280" s="545" t="n"/>
      <x:c r="P280" s="545" t="n"/>
      <x:c r="Q280" s="550" t="str">
        <x:f>IF(E280="","",IFERROR(VLOOKUP(E280,'2_Tính giá'!$A$12:$M$51,13,FALSE),""))</x:f>
      </x:c>
      <x:c r="R280" s="550" t="str">
        <x:f>IF(OR(A280="",H280="",Q280=""),"",H280*Q280)</x:f>
      </x:c>
      <x:c r="S280" s="550" t="str">
        <x:f>IF(A280="","",J280+M280-K280-L280)</x:f>
      </x:c>
      <x:c r="T280" s="550" t="str">
        <x:f>IF(A280="","",J280+M280-K280-L280-N280-R280)</x:f>
      </x:c>
      <x:c r="U280" s="545" t="n"/>
      <x:c r="V280" s="545" t="n"/>
    </x:row>
    <x:row r="281">
      <x:c r="A281" s="545" t="n"/>
      <x:c r="B281" s="549" t="n"/>
      <x:c r="C281" s="545" t="n"/>
      <x:c r="D281" s="545" t="n"/>
      <x:c r="E281" s="545" t="n"/>
      <x:c r="F281" s="545" t="n"/>
      <x:c r="G281" s="545" t="n"/>
      <x:c r="H281" s="545" t="n"/>
      <x:c r="I281" s="550" t="n"/>
      <x:c r="J281" s="550" t="str">
        <x:f>IF(A281="","",IFERROR(H281*I281,""))</x:f>
      </x:c>
      <x:c r="K281" s="550" t="n"/>
      <x:c r="L281" s="550" t="n"/>
      <x:c r="M281" s="550" t="n"/>
      <x:c r="N281" s="550" t="n"/>
      <x:c r="O281" s="545" t="n"/>
      <x:c r="P281" s="545" t="n"/>
      <x:c r="Q281" s="550" t="str">
        <x:f>IF(E281="","",IFERROR(VLOOKUP(E281,'2_Tính giá'!$A$12:$M$51,13,FALSE),""))</x:f>
      </x:c>
      <x:c r="R281" s="550" t="str">
        <x:f>IF(OR(A281="",H281="",Q281=""),"",H281*Q281)</x:f>
      </x:c>
      <x:c r="S281" s="550" t="str">
        <x:f>IF(A281="","",J281+M281-K281-L281)</x:f>
      </x:c>
      <x:c r="T281" s="550" t="str">
        <x:f>IF(A281="","",J281+M281-K281-L281-N281-R281)</x:f>
      </x:c>
      <x:c r="U281" s="545" t="n"/>
      <x:c r="V281" s="545" t="n"/>
    </x:row>
    <x:row r="282">
      <x:c r="A282" s="545" t="n"/>
      <x:c r="B282" s="549" t="n"/>
      <x:c r="C282" s="545" t="n"/>
      <x:c r="D282" s="545" t="n"/>
      <x:c r="E282" s="545" t="n"/>
      <x:c r="F282" s="545" t="n"/>
      <x:c r="G282" s="545" t="n"/>
      <x:c r="H282" s="545" t="n"/>
      <x:c r="I282" s="550" t="n"/>
      <x:c r="J282" s="550" t="str">
        <x:f>IF(A282="","",IFERROR(H282*I282,""))</x:f>
      </x:c>
      <x:c r="K282" s="550" t="n"/>
      <x:c r="L282" s="550" t="n"/>
      <x:c r="M282" s="550" t="n"/>
      <x:c r="N282" s="550" t="n"/>
      <x:c r="O282" s="545" t="n"/>
      <x:c r="P282" s="545" t="n"/>
      <x:c r="Q282" s="550" t="str">
        <x:f>IF(E282="","",IFERROR(VLOOKUP(E282,'2_Tính giá'!$A$12:$M$51,13,FALSE),""))</x:f>
      </x:c>
      <x:c r="R282" s="550" t="str">
        <x:f>IF(OR(A282="",H282="",Q282=""),"",H282*Q282)</x:f>
      </x:c>
      <x:c r="S282" s="550" t="str">
        <x:f>IF(A282="","",J282+M282-K282-L282)</x:f>
      </x:c>
      <x:c r="T282" s="550" t="str">
        <x:f>IF(A282="","",J282+M282-K282-L282-N282-R282)</x:f>
      </x:c>
      <x:c r="U282" s="545" t="n"/>
      <x:c r="V282" s="545" t="n"/>
    </x:row>
    <x:row r="283">
      <x:c r="A283" s="545" t="n"/>
      <x:c r="B283" s="549" t="n"/>
      <x:c r="C283" s="545" t="n"/>
      <x:c r="D283" s="545" t="n"/>
      <x:c r="E283" s="545" t="n"/>
      <x:c r="F283" s="545" t="n"/>
      <x:c r="G283" s="545" t="n"/>
      <x:c r="H283" s="545" t="n"/>
      <x:c r="I283" s="550" t="n"/>
      <x:c r="J283" s="550" t="str">
        <x:f>IF(A283="","",IFERROR(H283*I283,""))</x:f>
      </x:c>
      <x:c r="K283" s="550" t="n"/>
      <x:c r="L283" s="550" t="n"/>
      <x:c r="M283" s="550" t="n"/>
      <x:c r="N283" s="550" t="n"/>
      <x:c r="O283" s="545" t="n"/>
      <x:c r="P283" s="545" t="n"/>
      <x:c r="Q283" s="550" t="str">
        <x:f>IF(E283="","",IFERROR(VLOOKUP(E283,'2_Tính giá'!$A$12:$M$51,13,FALSE),""))</x:f>
      </x:c>
      <x:c r="R283" s="550" t="str">
        <x:f>IF(OR(A283="",H283="",Q283=""),"",H283*Q283)</x:f>
      </x:c>
      <x:c r="S283" s="550" t="str">
        <x:f>IF(A283="","",J283+M283-K283-L283)</x:f>
      </x:c>
      <x:c r="T283" s="550" t="str">
        <x:f>IF(A283="","",J283+M283-K283-L283-N283-R283)</x:f>
      </x:c>
      <x:c r="U283" s="545" t="n"/>
      <x:c r="V283" s="545" t="n"/>
    </x:row>
    <x:row r="284">
      <x:c r="A284" s="545" t="n"/>
      <x:c r="B284" s="549" t="n"/>
      <x:c r="C284" s="545" t="n"/>
      <x:c r="D284" s="545" t="n"/>
      <x:c r="E284" s="545" t="n"/>
      <x:c r="F284" s="545" t="n"/>
      <x:c r="G284" s="545" t="n"/>
      <x:c r="H284" s="545" t="n"/>
      <x:c r="I284" s="550" t="n"/>
      <x:c r="J284" s="550" t="str">
        <x:f>IF(A284="","",IFERROR(H284*I284,""))</x:f>
      </x:c>
      <x:c r="K284" s="550" t="n"/>
      <x:c r="L284" s="550" t="n"/>
      <x:c r="M284" s="550" t="n"/>
      <x:c r="N284" s="550" t="n"/>
      <x:c r="O284" s="545" t="n"/>
      <x:c r="P284" s="545" t="n"/>
      <x:c r="Q284" s="550" t="str">
        <x:f>IF(E284="","",IFERROR(VLOOKUP(E284,'2_Tính giá'!$A$12:$M$51,13,FALSE),""))</x:f>
      </x:c>
      <x:c r="R284" s="550" t="str">
        <x:f>IF(OR(A284="",H284="",Q284=""),"",H284*Q284)</x:f>
      </x:c>
      <x:c r="S284" s="550" t="str">
        <x:f>IF(A284="","",J284+M284-K284-L284)</x:f>
      </x:c>
      <x:c r="T284" s="550" t="str">
        <x:f>IF(A284="","",J284+M284-K284-L284-N284-R284)</x:f>
      </x:c>
      <x:c r="U284" s="545" t="n"/>
      <x:c r="V284" s="545" t="n"/>
    </x:row>
    <x:row r="285">
      <x:c r="A285" s="545" t="n"/>
      <x:c r="B285" s="549" t="n"/>
      <x:c r="C285" s="545" t="n"/>
      <x:c r="D285" s="545" t="n"/>
      <x:c r="E285" s="545" t="n"/>
      <x:c r="F285" s="545" t="n"/>
      <x:c r="G285" s="545" t="n"/>
      <x:c r="H285" s="545" t="n"/>
      <x:c r="I285" s="550" t="n"/>
      <x:c r="J285" s="550" t="str">
        <x:f>IF(A285="","",IFERROR(H285*I285,""))</x:f>
      </x:c>
      <x:c r="K285" s="550" t="n"/>
      <x:c r="L285" s="550" t="n"/>
      <x:c r="M285" s="550" t="n"/>
      <x:c r="N285" s="550" t="n"/>
      <x:c r="O285" s="545" t="n"/>
      <x:c r="P285" s="545" t="n"/>
      <x:c r="Q285" s="550" t="str">
        <x:f>IF(E285="","",IFERROR(VLOOKUP(E285,'2_Tính giá'!$A$12:$M$51,13,FALSE),""))</x:f>
      </x:c>
      <x:c r="R285" s="550" t="str">
        <x:f>IF(OR(A285="",H285="",Q285=""),"",H285*Q285)</x:f>
      </x:c>
      <x:c r="S285" s="550" t="str">
        <x:f>IF(A285="","",J285+M285-K285-L285)</x:f>
      </x:c>
      <x:c r="T285" s="550" t="str">
        <x:f>IF(A285="","",J285+M285-K285-L285-N285-R285)</x:f>
      </x:c>
      <x:c r="U285" s="545" t="n"/>
      <x:c r="V285" s="545" t="n"/>
    </x:row>
    <x:row r="286">
      <x:c r="A286" s="545" t="n"/>
      <x:c r="B286" s="549" t="n"/>
      <x:c r="C286" s="545" t="n"/>
      <x:c r="D286" s="545" t="n"/>
      <x:c r="E286" s="545" t="n"/>
      <x:c r="F286" s="545" t="n"/>
      <x:c r="G286" s="545" t="n"/>
      <x:c r="H286" s="545" t="n"/>
      <x:c r="I286" s="550" t="n"/>
      <x:c r="J286" s="550" t="str">
        <x:f>IF(A286="","",IFERROR(H286*I286,""))</x:f>
      </x:c>
      <x:c r="K286" s="550" t="n"/>
      <x:c r="L286" s="550" t="n"/>
      <x:c r="M286" s="550" t="n"/>
      <x:c r="N286" s="550" t="n"/>
      <x:c r="O286" s="545" t="n"/>
      <x:c r="P286" s="545" t="n"/>
      <x:c r="Q286" s="550" t="str">
        <x:f>IF(E286="","",IFERROR(VLOOKUP(E286,'2_Tính giá'!$A$12:$M$51,13,FALSE),""))</x:f>
      </x:c>
      <x:c r="R286" s="550" t="str">
        <x:f>IF(OR(A286="",H286="",Q286=""),"",H286*Q286)</x:f>
      </x:c>
      <x:c r="S286" s="550" t="str">
        <x:f>IF(A286="","",J286+M286-K286-L286)</x:f>
      </x:c>
      <x:c r="T286" s="550" t="str">
        <x:f>IF(A286="","",J286+M286-K286-L286-N286-R286)</x:f>
      </x:c>
      <x:c r="U286" s="545" t="n"/>
      <x:c r="V286" s="545" t="n"/>
    </x:row>
    <x:row r="287">
      <x:c r="A287" s="545" t="n"/>
      <x:c r="B287" s="549" t="n"/>
      <x:c r="C287" s="545" t="n"/>
      <x:c r="D287" s="545" t="n"/>
      <x:c r="E287" s="545" t="n"/>
      <x:c r="F287" s="545" t="n"/>
      <x:c r="G287" s="545" t="n"/>
      <x:c r="H287" s="545" t="n"/>
      <x:c r="I287" s="550" t="n"/>
      <x:c r="J287" s="550" t="str">
        <x:f>IF(A287="","",IFERROR(H287*I287,""))</x:f>
      </x:c>
      <x:c r="K287" s="550" t="n"/>
      <x:c r="L287" s="550" t="n"/>
      <x:c r="M287" s="550" t="n"/>
      <x:c r="N287" s="550" t="n"/>
      <x:c r="O287" s="545" t="n"/>
      <x:c r="P287" s="545" t="n"/>
      <x:c r="Q287" s="550" t="str">
        <x:f>IF(E287="","",IFERROR(VLOOKUP(E287,'2_Tính giá'!$A$12:$M$51,13,FALSE),""))</x:f>
      </x:c>
      <x:c r="R287" s="550" t="str">
        <x:f>IF(OR(A287="",H287="",Q287=""),"",H287*Q287)</x:f>
      </x:c>
      <x:c r="S287" s="550" t="str">
        <x:f>IF(A287="","",J287+M287-K287-L287)</x:f>
      </x:c>
      <x:c r="T287" s="550" t="str">
        <x:f>IF(A287="","",J287+M287-K287-L287-N287-R287)</x:f>
      </x:c>
      <x:c r="U287" s="545" t="n"/>
      <x:c r="V287" s="545" t="n"/>
    </x:row>
    <x:row r="288">
      <x:c r="A288" s="545" t="n"/>
      <x:c r="B288" s="549" t="n"/>
      <x:c r="C288" s="545" t="n"/>
      <x:c r="D288" s="545" t="n"/>
      <x:c r="E288" s="545" t="n"/>
      <x:c r="F288" s="545" t="n"/>
      <x:c r="G288" s="545" t="n"/>
      <x:c r="H288" s="545" t="n"/>
      <x:c r="I288" s="550" t="n"/>
      <x:c r="J288" s="550" t="str">
        <x:f>IF(A288="","",IFERROR(H288*I288,""))</x:f>
      </x:c>
      <x:c r="K288" s="550" t="n"/>
      <x:c r="L288" s="550" t="n"/>
      <x:c r="M288" s="550" t="n"/>
      <x:c r="N288" s="550" t="n"/>
      <x:c r="O288" s="545" t="n"/>
      <x:c r="P288" s="545" t="n"/>
      <x:c r="Q288" s="550" t="str">
        <x:f>IF(E288="","",IFERROR(VLOOKUP(E288,'2_Tính giá'!$A$12:$M$51,13,FALSE),""))</x:f>
      </x:c>
      <x:c r="R288" s="550" t="str">
        <x:f>IF(OR(A288="",H288="",Q288=""),"",H288*Q288)</x:f>
      </x:c>
      <x:c r="S288" s="550" t="str">
        <x:f>IF(A288="","",J288+M288-K288-L288)</x:f>
      </x:c>
      <x:c r="T288" s="550" t="str">
        <x:f>IF(A288="","",J288+M288-K288-L288-N288-R288)</x:f>
      </x:c>
      <x:c r="U288" s="545" t="n"/>
      <x:c r="V288" s="545" t="n"/>
    </x:row>
    <x:row r="289">
      <x:c r="A289" s="545" t="n"/>
      <x:c r="B289" s="549" t="n"/>
      <x:c r="C289" s="545" t="n"/>
      <x:c r="D289" s="545" t="n"/>
      <x:c r="E289" s="545" t="n"/>
      <x:c r="F289" s="545" t="n"/>
      <x:c r="G289" s="545" t="n"/>
      <x:c r="H289" s="545" t="n"/>
      <x:c r="I289" s="550" t="n"/>
      <x:c r="J289" s="550" t="str">
        <x:f>IF(A289="","",IFERROR(H289*I289,""))</x:f>
      </x:c>
      <x:c r="K289" s="550" t="n"/>
      <x:c r="L289" s="550" t="n"/>
      <x:c r="M289" s="550" t="n"/>
      <x:c r="N289" s="550" t="n"/>
      <x:c r="O289" s="545" t="n"/>
      <x:c r="P289" s="545" t="n"/>
      <x:c r="Q289" s="550" t="str">
        <x:f>IF(E289="","",IFERROR(VLOOKUP(E289,'2_Tính giá'!$A$12:$M$51,13,FALSE),""))</x:f>
      </x:c>
      <x:c r="R289" s="550" t="str">
        <x:f>IF(OR(A289="",H289="",Q289=""),"",H289*Q289)</x:f>
      </x:c>
      <x:c r="S289" s="550" t="str">
        <x:f>IF(A289="","",J289+M289-K289-L289)</x:f>
      </x:c>
      <x:c r="T289" s="550" t="str">
        <x:f>IF(A289="","",J289+M289-K289-L289-N289-R289)</x:f>
      </x:c>
      <x:c r="U289" s="545" t="n"/>
      <x:c r="V289" s="545" t="n"/>
    </x:row>
    <x:row r="290">
      <x:c r="A290" s="545" t="n"/>
      <x:c r="B290" s="549" t="n"/>
      <x:c r="C290" s="545" t="n"/>
      <x:c r="D290" s="545" t="n"/>
      <x:c r="E290" s="545" t="n"/>
      <x:c r="F290" s="545" t="n"/>
      <x:c r="G290" s="545" t="n"/>
      <x:c r="H290" s="545" t="n"/>
      <x:c r="I290" s="550" t="n"/>
      <x:c r="J290" s="550" t="str">
        <x:f>IF(A290="","",IFERROR(H290*I290,""))</x:f>
      </x:c>
      <x:c r="K290" s="550" t="n"/>
      <x:c r="L290" s="550" t="n"/>
      <x:c r="M290" s="550" t="n"/>
      <x:c r="N290" s="550" t="n"/>
      <x:c r="O290" s="545" t="n"/>
      <x:c r="P290" s="545" t="n"/>
      <x:c r="Q290" s="550" t="str">
        <x:f>IF(E290="","",IFERROR(VLOOKUP(E290,'2_Tính giá'!$A$12:$M$51,13,FALSE),""))</x:f>
      </x:c>
      <x:c r="R290" s="550" t="str">
        <x:f>IF(OR(A290="",H290="",Q290=""),"",H290*Q290)</x:f>
      </x:c>
      <x:c r="S290" s="550" t="str">
        <x:f>IF(A290="","",J290+M290-K290-L290)</x:f>
      </x:c>
      <x:c r="T290" s="550" t="str">
        <x:f>IF(A290="","",J290+M290-K290-L290-N290-R290)</x:f>
      </x:c>
      <x:c r="U290" s="545" t="n"/>
      <x:c r="V290" s="545" t="n"/>
    </x:row>
    <x:row r="291">
      <x:c r="A291" s="545" t="n"/>
      <x:c r="B291" s="549" t="n"/>
      <x:c r="C291" s="545" t="n"/>
      <x:c r="D291" s="545" t="n"/>
      <x:c r="E291" s="545" t="n"/>
      <x:c r="F291" s="545" t="n"/>
      <x:c r="G291" s="545" t="n"/>
      <x:c r="H291" s="545" t="n"/>
      <x:c r="I291" s="550" t="n"/>
      <x:c r="J291" s="550" t="str">
        <x:f>IF(A291="","",IFERROR(H291*I291,""))</x:f>
      </x:c>
      <x:c r="K291" s="550" t="n"/>
      <x:c r="L291" s="550" t="n"/>
      <x:c r="M291" s="550" t="n"/>
      <x:c r="N291" s="550" t="n"/>
      <x:c r="O291" s="545" t="n"/>
      <x:c r="P291" s="545" t="n"/>
      <x:c r="Q291" s="550" t="str">
        <x:f>IF(E291="","",IFERROR(VLOOKUP(E291,'2_Tính giá'!$A$12:$M$51,13,FALSE),""))</x:f>
      </x:c>
      <x:c r="R291" s="550" t="str">
        <x:f>IF(OR(A291="",H291="",Q291=""),"",H291*Q291)</x:f>
      </x:c>
      <x:c r="S291" s="550" t="str">
        <x:f>IF(A291="","",J291+M291-K291-L291)</x:f>
      </x:c>
      <x:c r="T291" s="550" t="str">
        <x:f>IF(A291="","",J291+M291-K291-L291-N291-R291)</x:f>
      </x:c>
      <x:c r="U291" s="545" t="n"/>
      <x:c r="V291" s="545" t="n"/>
    </x:row>
    <x:row r="292">
      <x:c r="A292" s="545" t="n"/>
      <x:c r="B292" s="549" t="n"/>
      <x:c r="C292" s="545" t="n"/>
      <x:c r="D292" s="545" t="n"/>
      <x:c r="E292" s="545" t="n"/>
      <x:c r="F292" s="545" t="n"/>
      <x:c r="G292" s="545" t="n"/>
      <x:c r="H292" s="545" t="n"/>
      <x:c r="I292" s="550" t="n"/>
      <x:c r="J292" s="550" t="str">
        <x:f>IF(A292="","",IFERROR(H292*I292,""))</x:f>
      </x:c>
      <x:c r="K292" s="550" t="n"/>
      <x:c r="L292" s="550" t="n"/>
      <x:c r="M292" s="550" t="n"/>
      <x:c r="N292" s="550" t="n"/>
      <x:c r="O292" s="545" t="n"/>
      <x:c r="P292" s="545" t="n"/>
      <x:c r="Q292" s="550" t="str">
        <x:f>IF(E292="","",IFERROR(VLOOKUP(E292,'2_Tính giá'!$A$12:$M$51,13,FALSE),""))</x:f>
      </x:c>
      <x:c r="R292" s="550" t="str">
        <x:f>IF(OR(A292="",H292="",Q292=""),"",H292*Q292)</x:f>
      </x:c>
      <x:c r="S292" s="550" t="str">
        <x:f>IF(A292="","",J292+M292-K292-L292)</x:f>
      </x:c>
      <x:c r="T292" s="550" t="str">
        <x:f>IF(A292="","",J292+M292-K292-L292-N292-R292)</x:f>
      </x:c>
      <x:c r="U292" s="545" t="n"/>
      <x:c r="V292" s="545" t="n"/>
    </x:row>
    <x:row r="293">
      <x:c r="A293" s="545" t="n"/>
      <x:c r="B293" s="549" t="n"/>
      <x:c r="C293" s="545" t="n"/>
      <x:c r="D293" s="545" t="n"/>
      <x:c r="E293" s="545" t="n"/>
      <x:c r="F293" s="545" t="n"/>
      <x:c r="G293" s="545" t="n"/>
      <x:c r="H293" s="545" t="n"/>
      <x:c r="I293" s="550" t="n"/>
      <x:c r="J293" s="550" t="str">
        <x:f>IF(A293="","",IFERROR(H293*I293,""))</x:f>
      </x:c>
      <x:c r="K293" s="550" t="n"/>
      <x:c r="L293" s="550" t="n"/>
      <x:c r="M293" s="550" t="n"/>
      <x:c r="N293" s="550" t="n"/>
      <x:c r="O293" s="545" t="n"/>
      <x:c r="P293" s="545" t="n"/>
      <x:c r="Q293" s="550" t="str">
        <x:f>IF(E293="","",IFERROR(VLOOKUP(E293,'2_Tính giá'!$A$12:$M$51,13,FALSE),""))</x:f>
      </x:c>
      <x:c r="R293" s="550" t="str">
        <x:f>IF(OR(A293="",H293="",Q293=""),"",H293*Q293)</x:f>
      </x:c>
      <x:c r="S293" s="550" t="str">
        <x:f>IF(A293="","",J293+M293-K293-L293)</x:f>
      </x:c>
      <x:c r="T293" s="550" t="str">
        <x:f>IF(A293="","",J293+M293-K293-L293-N293-R293)</x:f>
      </x:c>
      <x:c r="U293" s="545" t="n"/>
      <x:c r="V293" s="545" t="n"/>
    </x:row>
    <x:row r="294">
      <x:c r="A294" s="545" t="n"/>
      <x:c r="B294" s="549" t="n"/>
      <x:c r="C294" s="545" t="n"/>
      <x:c r="D294" s="545" t="n"/>
      <x:c r="E294" s="545" t="n"/>
      <x:c r="F294" s="545" t="n"/>
      <x:c r="G294" s="545" t="n"/>
      <x:c r="H294" s="545" t="n"/>
      <x:c r="I294" s="550" t="n"/>
      <x:c r="J294" s="550" t="str">
        <x:f>IF(A294="","",IFERROR(H294*I294,""))</x:f>
      </x:c>
      <x:c r="K294" s="550" t="n"/>
      <x:c r="L294" s="550" t="n"/>
      <x:c r="M294" s="550" t="n"/>
      <x:c r="N294" s="550" t="n"/>
      <x:c r="O294" s="545" t="n"/>
      <x:c r="P294" s="545" t="n"/>
      <x:c r="Q294" s="550" t="str">
        <x:f>IF(E294="","",IFERROR(VLOOKUP(E294,'2_Tính giá'!$A$12:$M$51,13,FALSE),""))</x:f>
      </x:c>
      <x:c r="R294" s="550" t="str">
        <x:f>IF(OR(A294="",H294="",Q294=""),"",H294*Q294)</x:f>
      </x:c>
      <x:c r="S294" s="550" t="str">
        <x:f>IF(A294="","",J294+M294-K294-L294)</x:f>
      </x:c>
      <x:c r="T294" s="550" t="str">
        <x:f>IF(A294="","",J294+M294-K294-L294-N294-R294)</x:f>
      </x:c>
      <x:c r="U294" s="545" t="n"/>
      <x:c r="V294" s="545" t="n"/>
    </x:row>
    <x:row r="295">
      <x:c r="A295" s="545" t="n"/>
      <x:c r="B295" s="549" t="n"/>
      <x:c r="C295" s="545" t="n"/>
      <x:c r="D295" s="545" t="n"/>
      <x:c r="E295" s="545" t="n"/>
      <x:c r="F295" s="545" t="n"/>
      <x:c r="G295" s="545" t="n"/>
      <x:c r="H295" s="545" t="n"/>
      <x:c r="I295" s="550" t="n"/>
      <x:c r="J295" s="550" t="str">
        <x:f>IF(A295="","",IFERROR(H295*I295,""))</x:f>
      </x:c>
      <x:c r="K295" s="550" t="n"/>
      <x:c r="L295" s="550" t="n"/>
      <x:c r="M295" s="550" t="n"/>
      <x:c r="N295" s="550" t="n"/>
      <x:c r="O295" s="545" t="n"/>
      <x:c r="P295" s="545" t="n"/>
      <x:c r="Q295" s="550" t="str">
        <x:f>IF(E295="","",IFERROR(VLOOKUP(E295,'2_Tính giá'!$A$12:$M$51,13,FALSE),""))</x:f>
      </x:c>
      <x:c r="R295" s="550" t="str">
        <x:f>IF(OR(A295="",H295="",Q295=""),"",H295*Q295)</x:f>
      </x:c>
      <x:c r="S295" s="550" t="str">
        <x:f>IF(A295="","",J295+M295-K295-L295)</x:f>
      </x:c>
      <x:c r="T295" s="550" t="str">
        <x:f>IF(A295="","",J295+M295-K295-L295-N295-R295)</x:f>
      </x:c>
      <x:c r="U295" s="545" t="n"/>
      <x:c r="V295" s="545" t="n"/>
    </x:row>
    <x:row r="296">
      <x:c r="A296" s="545" t="n"/>
      <x:c r="B296" s="549" t="n"/>
      <x:c r="C296" s="545" t="n"/>
      <x:c r="D296" s="545" t="n"/>
      <x:c r="E296" s="545" t="n"/>
      <x:c r="F296" s="545" t="n"/>
      <x:c r="G296" s="545" t="n"/>
      <x:c r="H296" s="545" t="n"/>
      <x:c r="I296" s="550" t="n"/>
      <x:c r="J296" s="550" t="str">
        <x:f>IF(A296="","",IFERROR(H296*I296,""))</x:f>
      </x:c>
      <x:c r="K296" s="550" t="n"/>
      <x:c r="L296" s="550" t="n"/>
      <x:c r="M296" s="550" t="n"/>
      <x:c r="N296" s="550" t="n"/>
      <x:c r="O296" s="545" t="n"/>
      <x:c r="P296" s="545" t="n"/>
      <x:c r="Q296" s="550" t="str">
        <x:f>IF(E296="","",IFERROR(VLOOKUP(E296,'2_Tính giá'!$A$12:$M$51,13,FALSE),""))</x:f>
      </x:c>
      <x:c r="R296" s="550" t="str">
        <x:f>IF(OR(A296="",H296="",Q296=""),"",H296*Q296)</x:f>
      </x:c>
      <x:c r="S296" s="550" t="str">
        <x:f>IF(A296="","",J296+M296-K296-L296)</x:f>
      </x:c>
      <x:c r="T296" s="550" t="str">
        <x:f>IF(A296="","",J296+M296-K296-L296-N296-R296)</x:f>
      </x:c>
      <x:c r="U296" s="545" t="n"/>
      <x:c r="V296" s="545" t="n"/>
    </x:row>
    <x:row r="297">
      <x:c r="A297" s="545" t="n"/>
      <x:c r="B297" s="549" t="n"/>
      <x:c r="C297" s="545" t="n"/>
      <x:c r="D297" s="545" t="n"/>
      <x:c r="E297" s="545" t="n"/>
      <x:c r="F297" s="545" t="n"/>
      <x:c r="G297" s="545" t="n"/>
      <x:c r="H297" s="545" t="n"/>
      <x:c r="I297" s="550" t="n"/>
      <x:c r="J297" s="550" t="str">
        <x:f>IF(A297="","",IFERROR(H297*I297,""))</x:f>
      </x:c>
      <x:c r="K297" s="550" t="n"/>
      <x:c r="L297" s="550" t="n"/>
      <x:c r="M297" s="550" t="n"/>
      <x:c r="N297" s="550" t="n"/>
      <x:c r="O297" s="545" t="n"/>
      <x:c r="P297" s="545" t="n"/>
      <x:c r="Q297" s="550" t="str">
        <x:f>IF(E297="","",IFERROR(VLOOKUP(E297,'2_Tính giá'!$A$12:$M$51,13,FALSE),""))</x:f>
      </x:c>
      <x:c r="R297" s="550" t="str">
        <x:f>IF(OR(A297="",H297="",Q297=""),"",H297*Q297)</x:f>
      </x:c>
      <x:c r="S297" s="550" t="str">
        <x:f>IF(A297="","",J297+M297-K297-L297)</x:f>
      </x:c>
      <x:c r="T297" s="550" t="str">
        <x:f>IF(A297="","",J297+M297-K297-L297-N297-R297)</x:f>
      </x:c>
      <x:c r="U297" s="545" t="n"/>
      <x:c r="V297" s="545" t="n"/>
    </x:row>
    <x:row r="298">
      <x:c r="A298" s="545" t="n"/>
      <x:c r="B298" s="549" t="n"/>
      <x:c r="C298" s="545" t="n"/>
      <x:c r="D298" s="545" t="n"/>
      <x:c r="E298" s="545" t="n"/>
      <x:c r="F298" s="545" t="n"/>
      <x:c r="G298" s="545" t="n"/>
      <x:c r="H298" s="545" t="n"/>
      <x:c r="I298" s="550" t="n"/>
      <x:c r="J298" s="550" t="str">
        <x:f>IF(A298="","",IFERROR(H298*I298,""))</x:f>
      </x:c>
      <x:c r="K298" s="550" t="n"/>
      <x:c r="L298" s="550" t="n"/>
      <x:c r="M298" s="550" t="n"/>
      <x:c r="N298" s="550" t="n"/>
      <x:c r="O298" s="545" t="n"/>
      <x:c r="P298" s="545" t="n"/>
      <x:c r="Q298" s="550" t="str">
        <x:f>IF(E298="","",IFERROR(VLOOKUP(E298,'2_Tính giá'!$A$12:$M$51,13,FALSE),""))</x:f>
      </x:c>
      <x:c r="R298" s="550" t="str">
        <x:f>IF(OR(A298="",H298="",Q298=""),"",H298*Q298)</x:f>
      </x:c>
      <x:c r="S298" s="550" t="str">
        <x:f>IF(A298="","",J298+M298-K298-L298)</x:f>
      </x:c>
      <x:c r="T298" s="550" t="str">
        <x:f>IF(A298="","",J298+M298-K298-L298-N298-R298)</x:f>
      </x:c>
      <x:c r="U298" s="545" t="n"/>
      <x:c r="V298" s="545" t="n"/>
    </x:row>
    <x:row r="299">
      <x:c r="A299" s="545" t="n"/>
      <x:c r="B299" s="549" t="n"/>
      <x:c r="C299" s="545" t="n"/>
      <x:c r="D299" s="545" t="n"/>
      <x:c r="E299" s="545" t="n"/>
      <x:c r="F299" s="545" t="n"/>
      <x:c r="G299" s="545" t="n"/>
      <x:c r="H299" s="545" t="n"/>
      <x:c r="I299" s="550" t="n"/>
      <x:c r="J299" s="550" t="str">
        <x:f>IF(A299="","",IFERROR(H299*I299,""))</x:f>
      </x:c>
      <x:c r="K299" s="550" t="n"/>
      <x:c r="L299" s="550" t="n"/>
      <x:c r="M299" s="550" t="n"/>
      <x:c r="N299" s="550" t="n"/>
      <x:c r="O299" s="545" t="n"/>
      <x:c r="P299" s="545" t="n"/>
      <x:c r="Q299" s="550" t="str">
        <x:f>IF(E299="","",IFERROR(VLOOKUP(E299,'2_Tính giá'!$A$12:$M$51,13,FALSE),""))</x:f>
      </x:c>
      <x:c r="R299" s="550" t="str">
        <x:f>IF(OR(A299="",H299="",Q299=""),"",H299*Q299)</x:f>
      </x:c>
      <x:c r="S299" s="550" t="str">
        <x:f>IF(A299="","",J299+M299-K299-L299)</x:f>
      </x:c>
      <x:c r="T299" s="550" t="str">
        <x:f>IF(A299="","",J299+M299-K299-L299-N299-R299)</x:f>
      </x:c>
      <x:c r="U299" s="545" t="n"/>
      <x:c r="V299" s="545" t="n"/>
    </x:row>
    <x:row r="300">
      <x:c r="A300" s="545" t="n"/>
      <x:c r="B300" s="549" t="n"/>
      <x:c r="C300" s="545" t="n"/>
      <x:c r="D300" s="545" t="n"/>
      <x:c r="E300" s="545" t="n"/>
      <x:c r="F300" s="545" t="n"/>
      <x:c r="G300" s="545" t="n"/>
      <x:c r="H300" s="545" t="n"/>
      <x:c r="I300" s="550" t="n"/>
      <x:c r="J300" s="550" t="str">
        <x:f>IF(A300="","",IFERROR(H300*I300,""))</x:f>
      </x:c>
      <x:c r="K300" s="550" t="n"/>
      <x:c r="L300" s="550" t="n"/>
      <x:c r="M300" s="550" t="n"/>
      <x:c r="N300" s="550" t="n"/>
      <x:c r="O300" s="545" t="n"/>
      <x:c r="P300" s="545" t="n"/>
      <x:c r="Q300" s="550" t="str">
        <x:f>IF(E300="","",IFERROR(VLOOKUP(E300,'2_Tính giá'!$A$12:$M$51,13,FALSE),""))</x:f>
      </x:c>
      <x:c r="R300" s="550" t="str">
        <x:f>IF(OR(A300="",H300="",Q300=""),"",H300*Q300)</x:f>
      </x:c>
      <x:c r="S300" s="550" t="str">
        <x:f>IF(A300="","",J300+M300-K300-L300)</x:f>
      </x:c>
      <x:c r="T300" s="550" t="str">
        <x:f>IF(A300="","",J300+M300-K300-L300-N300-R300)</x:f>
      </x:c>
      <x:c r="U300" s="545" t="n"/>
      <x:c r="V300" s="545" t="n"/>
    </x:row>
    <x:row r="301">
      <x:c r="A301" s="545" t="n"/>
      <x:c r="B301" s="549" t="n"/>
      <x:c r="C301" s="545" t="n"/>
      <x:c r="D301" s="545" t="n"/>
      <x:c r="E301" s="545" t="n"/>
      <x:c r="F301" s="545" t="n"/>
      <x:c r="G301" s="545" t="n"/>
      <x:c r="H301" s="545" t="n"/>
      <x:c r="I301" s="550" t="n"/>
      <x:c r="J301" s="550" t="str">
        <x:f>IF(A301="","",IFERROR(H301*I301,""))</x:f>
      </x:c>
      <x:c r="K301" s="550" t="n"/>
      <x:c r="L301" s="550" t="n"/>
      <x:c r="M301" s="550" t="n"/>
      <x:c r="N301" s="550" t="n"/>
      <x:c r="O301" s="545" t="n"/>
      <x:c r="P301" s="545" t="n"/>
      <x:c r="Q301" s="550" t="str">
        <x:f>IF(E301="","",IFERROR(VLOOKUP(E301,'2_Tính giá'!$A$12:$M$51,13,FALSE),""))</x:f>
      </x:c>
      <x:c r="R301" s="550" t="str">
        <x:f>IF(OR(A301="",H301="",Q301=""),"",H301*Q301)</x:f>
      </x:c>
      <x:c r="S301" s="550" t="str">
        <x:f>IF(A301="","",J301+M301-K301-L301)</x:f>
      </x:c>
      <x:c r="T301" s="550" t="str">
        <x:f>IF(A301="","",J301+M301-K301-L301-N301-R301)</x:f>
      </x:c>
      <x:c r="U301" s="545" t="n"/>
      <x:c r="V301" s="545" t="n"/>
    </x:row>
    <x:row r="302">
      <x:c r="A302" s="545" t="n"/>
      <x:c r="B302" s="549" t="n"/>
      <x:c r="C302" s="545" t="n"/>
      <x:c r="D302" s="545" t="n"/>
      <x:c r="E302" s="545" t="n"/>
      <x:c r="F302" s="545" t="n"/>
      <x:c r="G302" s="545" t="n"/>
      <x:c r="H302" s="545" t="n"/>
      <x:c r="I302" s="550" t="n"/>
      <x:c r="J302" s="550" t="str">
        <x:f>IF(A302="","",IFERROR(H302*I302,""))</x:f>
      </x:c>
      <x:c r="K302" s="550" t="n"/>
      <x:c r="L302" s="550" t="n"/>
      <x:c r="M302" s="550" t="n"/>
      <x:c r="N302" s="550" t="n"/>
      <x:c r="O302" s="545" t="n"/>
      <x:c r="P302" s="545" t="n"/>
      <x:c r="Q302" s="550" t="str">
        <x:f>IF(E302="","",IFERROR(VLOOKUP(E302,'2_Tính giá'!$A$12:$M$51,13,FALSE),""))</x:f>
      </x:c>
      <x:c r="R302" s="550" t="str">
        <x:f>IF(OR(A302="",H302="",Q302=""),"",H302*Q302)</x:f>
      </x:c>
      <x:c r="S302" s="550" t="str">
        <x:f>IF(A302="","",J302+M302-K302-L302)</x:f>
      </x:c>
      <x:c r="T302" s="550" t="str">
        <x:f>IF(A302="","",J302+M302-K302-L302-N302-R302)</x:f>
      </x:c>
      <x:c r="U302" s="545" t="n"/>
      <x:c r="V302" s="545" t="n"/>
    </x:row>
    <x:row r="303">
      <x:c r="A303" s="545" t="n"/>
      <x:c r="B303" s="549" t="n"/>
      <x:c r="C303" s="545" t="n"/>
      <x:c r="D303" s="545" t="n"/>
      <x:c r="E303" s="545" t="n"/>
      <x:c r="F303" s="545" t="n"/>
      <x:c r="G303" s="545" t="n"/>
      <x:c r="H303" s="545" t="n"/>
      <x:c r="I303" s="550" t="n"/>
      <x:c r="J303" s="550" t="str">
        <x:f>IF(A303="","",IFERROR(H303*I303,""))</x:f>
      </x:c>
      <x:c r="K303" s="550" t="n"/>
      <x:c r="L303" s="550" t="n"/>
      <x:c r="M303" s="550" t="n"/>
      <x:c r="N303" s="550" t="n"/>
      <x:c r="O303" s="545" t="n"/>
      <x:c r="P303" s="545" t="n"/>
      <x:c r="Q303" s="550" t="str">
        <x:f>IF(E303="","",IFERROR(VLOOKUP(E303,'2_Tính giá'!$A$12:$M$51,13,FALSE),""))</x:f>
      </x:c>
      <x:c r="R303" s="550" t="str">
        <x:f>IF(OR(A303="",H303="",Q303=""),"",H303*Q303)</x:f>
      </x:c>
      <x:c r="S303" s="550" t="str">
        <x:f>IF(A303="","",J303+M303-K303-L303)</x:f>
      </x:c>
      <x:c r="T303" s="550" t="str">
        <x:f>IF(A303="","",J303+M303-K303-L303-N303-R303)</x:f>
      </x:c>
      <x:c r="U303" s="545" t="n"/>
      <x:c r="V303" s="545" t="n"/>
    </x:row>
  </x:sheetData>
  <x:mergeCells>
    <x:mergeCell ref="A1:V1"/>
  </x:mergeCells>
  <x:conditionalFormatting sqref="T4:T303">
    <x:cfRule type="expression" dxfId="6" priority="1">
      <x:formula>T4&lt;0</x:formula>
    </x:cfRule>
  </x:conditionalFormatting>
  <x:dataValidations count="6">
    <x:dataValidation type="list" allowBlank="0" showDropDown="0" showInputMessage="0" showErrorMessage="0" sqref="C4:C303">
      <x:formula1>"Sàn TMĐT,Facebook,Zalo,Website,Khách quen,Khác"</x:formula1>
    </x:dataValidation>
    <x:dataValidation type="list" allowBlank="0" showDropDown="0" showInputMessage="0" showErrorMessage="0" sqref="D4:D303">
      <x:formula1>"TikTok Shop,Shopee,Lazada,Facebook,Zalo,Website,Khác"</x:formula1>
    </x:dataValidation>
    <x:dataValidation type="list" allowBlank="0" showDropDown="0" showInputMessage="0" showErrorMessage="0" sqref="O4:O303">
      <x:formula1>"SPX,GHN,GHTK,J&amp;T Express,Viettel Post,VNPost,Ninja Van,Ahamove,Grab,Khác,Tự giao"</x:formula1>
    </x:dataValidation>
    <x:dataValidation type="list" allowBlank="0" showDropDown="0" showInputMessage="0" showErrorMessage="0" sqref="U4:U303">
      <x:formula1>"Đã giao,Đã hoàn,Đã hủy,Đang xử lý,Đã nhận tiền"</x:formula1>
    </x:dataValidation>
    <x:dataValidation type="list" sqref="E4:E303">
      <x:formula1>'9_Sản phẩm'!$A$4:$A$303</x:formula1>
    </x:dataValidation>
    <x:dataValidation type="list" sqref="G4:G303">
      <x:formula1>'11_Khách hàng'!$A$4:$A$303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07982827e1484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9.5" style="14" customWidth="1"/>
    <x:col min="2" max="2" width="10.5" style="14" customWidth="1"/>
    <x:col min="3" max="3" width="15.5" style="14" customWidth="1"/>
    <x:col min="4" max="4" width="13.630000114440918" style="14" customWidth="1"/>
    <x:col min="5" max="5" width="15.380000114440918" style="14" customWidth="1"/>
    <x:col min="6" max="6" width="16.3799991607666" style="14" customWidth="1"/>
    <x:col min="7" max="7" width="12.5" style="14" customWidth="1"/>
    <x:col min="8" max="8" width="15.25" style="14" customWidth="1"/>
    <x:col min="9" max="9" width="10.630000114440918" style="14" customWidth="1"/>
    <x:col min="10" max="10" width="30" style="14" customWidth="1"/>
  </x:cols>
  <x:sheetData>
    <x:row r="1" s="14" customFormat="1" ht="28" customHeight="1">
      <x:c r="A1" s="548" t="inlineStr">
        <x:is>
          <x:t xml:space="preserve">SỔ TIỀN RÚT TỪ SÀN / KÊNH → NGÂN HÀNG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</x:row>
    <x:row r="3" s="14" customFormat="1" ht="32" customHeight="1">
      <x:c r="A3" s="547" t="inlineStr">
        <x:is>
          <x:t xml:space="preserve">Ngày rút</x:t>
        </x:is>
      </x:c>
      <x:c r="B3" s="547" t="inlineStr">
        <x:is>
          <x:t xml:space="preserve">Sàn/Kênh</x:t>
        </x:is>
      </x:c>
      <x:c r="C3" s="547" t="inlineStr">
        <x:is>
          <x:t xml:space="preserve">Mã giao dịch rút</x:t>
        </x:is>
      </x:c>
      <x:c r="D3" s="547" t="inlineStr">
        <x:is>
          <x:t xml:space="preserve">Số tiền rút (đ)</x:t>
        </x:is>
      </x:c>
      <x:c r="E3" s="547" t="inlineStr">
        <x:is>
          <x:t xml:space="preserve">Ngân hàng nhận</x:t>
        </x:is>
      </x:c>
      <x:c r="F3" s="547" t="inlineStr">
        <x:is>
          <x:t xml:space="preserve">Tên chủ tài khoản</x:t>
        </x:is>
      </x:c>
      <x:c r="G3" s="547" t="inlineStr">
        <x:is>
          <x:t xml:space="preserve">Số tài khoản</x:t>
        </x:is>
      </x:c>
      <x:c r="H3" s="547" t="inlineStr">
        <x:is>
          <x:t xml:space="preserve">Ngày tiền về NH</x:t>
        </x:is>
      </x:c>
      <x:c r="I3" s="547" t="inlineStr">
        <x:is>
          <x:t xml:space="preserve">Trạng thái</x:t>
        </x:is>
      </x:c>
      <x:c r="J3" s="547" t="inlineStr">
        <x:is>
          <x:t xml:space="preserve">Ghi chú</x:t>
        </x:is>
      </x:c>
    </x:row>
    <x:row r="4">
      <x:c r="A4" s="538" t="n"/>
      <x:c r="B4" s="524"/>
      <x:c r="C4" s="524"/>
      <x:c r="D4" s="551" t="n"/>
      <x:c r="E4" s="524"/>
      <x:c r="F4" s="524"/>
      <x:c r="G4" s="538"/>
      <x:c r="H4" s="538" t="n"/>
      <x:c r="I4" s="524"/>
      <x:c r="J4" s="524"/>
    </x:row>
    <x:row r="5">
      <x:c r="A5" s="538" t="n"/>
      <x:c r="B5" s="524"/>
      <x:c r="C5" s="524"/>
      <x:c r="D5" s="551" t="n"/>
      <x:c r="E5" s="524"/>
      <x:c r="F5" s="524"/>
      <x:c r="G5" s="538"/>
      <x:c r="H5" s="538" t="n"/>
      <x:c r="I5" s="524"/>
      <x:c r="J5" s="524"/>
    </x:row>
    <x:row r="6">
      <x:c r="A6" s="538" t="n"/>
      <x:c r="B6" s="524"/>
      <x:c r="C6" s="524"/>
      <x:c r="D6" s="551" t="n"/>
      <x:c r="E6" s="524"/>
      <x:c r="F6" s="524"/>
      <x:c r="G6" s="538"/>
      <x:c r="H6" s="538" t="n"/>
      <x:c r="I6" s="524"/>
      <x:c r="J6" s="524"/>
    </x:row>
    <x:row r="7">
      <x:c r="A7" s="538" t="n"/>
      <x:c r="B7" s="524"/>
      <x:c r="C7" s="524"/>
      <x:c r="D7" s="551" t="n"/>
      <x:c r="E7" s="524"/>
      <x:c r="F7" s="524"/>
      <x:c r="G7" s="538"/>
      <x:c r="H7" s="538" t="n"/>
      <x:c r="I7" s="524"/>
      <x:c r="J7" s="524"/>
    </x:row>
    <x:row r="8">
      <x:c r="A8" s="538" t="n"/>
      <x:c r="B8" s="524"/>
      <x:c r="C8" s="524"/>
      <x:c r="D8" s="551" t="n"/>
      <x:c r="E8" s="524"/>
      <x:c r="F8" s="524"/>
      <x:c r="G8" s="538"/>
      <x:c r="H8" s="538" t="n"/>
      <x:c r="I8" s="524"/>
      <x:c r="J8" s="524"/>
    </x:row>
    <x:row r="9">
      <x:c r="A9" s="538" t="n"/>
      <x:c r="B9" s="524"/>
      <x:c r="C9" s="524"/>
      <x:c r="D9" s="551" t="n"/>
      <x:c r="E9" s="524"/>
      <x:c r="F9" s="524"/>
      <x:c r="G9" s="538"/>
      <x:c r="H9" s="538" t="n"/>
      <x:c r="I9" s="524"/>
      <x:c r="J9" s="524"/>
    </x:row>
    <x:row r="10">
      <x:c r="A10" s="538" t="n"/>
      <x:c r="B10" s="524"/>
      <x:c r="C10" s="524"/>
      <x:c r="D10" s="551" t="n"/>
      <x:c r="E10" s="524"/>
      <x:c r="F10" s="524"/>
      <x:c r="G10" s="538"/>
      <x:c r="H10" s="538" t="n"/>
      <x:c r="I10" s="524"/>
      <x:c r="J10" s="524"/>
    </x:row>
    <x:row r="11">
      <x:c r="A11" s="538" t="n"/>
      <x:c r="B11" s="524"/>
      <x:c r="C11" s="524"/>
      <x:c r="D11" s="551" t="n"/>
      <x:c r="E11" s="524"/>
      <x:c r="F11" s="524"/>
      <x:c r="G11" s="538"/>
      <x:c r="H11" s="538" t="n"/>
      <x:c r="I11" s="524"/>
      <x:c r="J11" s="524"/>
    </x:row>
    <x:row r="12">
      <x:c r="A12" s="538" t="n"/>
      <x:c r="B12" s="524"/>
      <x:c r="C12" s="524"/>
      <x:c r="D12" s="551" t="n"/>
      <x:c r="E12" s="524"/>
      <x:c r="F12" s="524"/>
      <x:c r="G12" s="538"/>
      <x:c r="H12" s="538" t="n"/>
      <x:c r="I12" s="524"/>
      <x:c r="J12" s="524"/>
    </x:row>
    <x:row r="13">
      <x:c r="A13" s="538" t="n"/>
      <x:c r="B13" s="524"/>
      <x:c r="C13" s="524"/>
      <x:c r="D13" s="551" t="n"/>
      <x:c r="E13" s="524"/>
      <x:c r="F13" s="524"/>
      <x:c r="G13" s="538"/>
      <x:c r="H13" s="538" t="n"/>
      <x:c r="I13" s="524"/>
      <x:c r="J13" s="524"/>
    </x:row>
    <x:row r="14">
      <x:c r="A14" s="538" t="n"/>
      <x:c r="B14" s="524"/>
      <x:c r="C14" s="524"/>
      <x:c r="D14" s="551" t="n"/>
      <x:c r="E14" s="524"/>
      <x:c r="F14" s="524"/>
      <x:c r="G14" s="538"/>
      <x:c r="H14" s="538" t="n"/>
      <x:c r="I14" s="524"/>
      <x:c r="J14" s="524"/>
    </x:row>
    <x:row r="15">
      <x:c r="A15" s="538" t="n"/>
      <x:c r="B15" s="524"/>
      <x:c r="C15" s="524"/>
      <x:c r="D15" s="551" t="n"/>
      <x:c r="E15" s="524"/>
      <x:c r="F15" s="524"/>
      <x:c r="G15" s="538"/>
      <x:c r="H15" s="538" t="n"/>
      <x:c r="I15" s="524"/>
      <x:c r="J15" s="524"/>
    </x:row>
    <x:row r="16">
      <x:c r="A16" s="538" t="n"/>
      <x:c r="B16" s="524"/>
      <x:c r="C16" s="524"/>
      <x:c r="D16" s="551" t="n"/>
      <x:c r="E16" s="524"/>
      <x:c r="F16" s="524"/>
      <x:c r="G16" s="538"/>
      <x:c r="H16" s="538" t="n"/>
      <x:c r="I16" s="524"/>
      <x:c r="J16" s="524"/>
    </x:row>
    <x:row r="17">
      <x:c r="A17" s="538" t="n"/>
      <x:c r="B17" s="524"/>
      <x:c r="C17" s="524"/>
      <x:c r="D17" s="551" t="n"/>
      <x:c r="E17" s="524"/>
      <x:c r="F17" s="524"/>
      <x:c r="G17" s="538"/>
      <x:c r="H17" s="538" t="n"/>
      <x:c r="I17" s="524"/>
      <x:c r="J17" s="524"/>
    </x:row>
    <x:row r="18">
      <x:c r="A18" s="538" t="n"/>
      <x:c r="B18" s="524"/>
      <x:c r="C18" s="524"/>
      <x:c r="D18" s="551" t="n"/>
      <x:c r="E18" s="524"/>
      <x:c r="F18" s="524"/>
      <x:c r="G18" s="538"/>
      <x:c r="H18" s="538" t="n"/>
      <x:c r="I18" s="524"/>
      <x:c r="J18" s="524"/>
    </x:row>
    <x:row r="19">
      <x:c r="A19" s="538" t="n"/>
      <x:c r="B19" s="524"/>
      <x:c r="C19" s="524"/>
      <x:c r="D19" s="551" t="n"/>
      <x:c r="E19" s="524"/>
      <x:c r="F19" s="524"/>
      <x:c r="G19" s="538"/>
      <x:c r="H19" s="538" t="n"/>
      <x:c r="I19" s="524"/>
      <x:c r="J19" s="524"/>
    </x:row>
    <x:row r="20">
      <x:c r="A20" s="538" t="n"/>
      <x:c r="B20" s="524"/>
      <x:c r="C20" s="524"/>
      <x:c r="D20" s="551" t="n"/>
      <x:c r="E20" s="524"/>
      <x:c r="F20" s="524"/>
      <x:c r="G20" s="538"/>
      <x:c r="H20" s="538" t="n"/>
      <x:c r="I20" s="524"/>
      <x:c r="J20" s="524"/>
    </x:row>
    <x:row r="21">
      <x:c r="A21" s="538" t="n"/>
      <x:c r="B21" s="524"/>
      <x:c r="C21" s="524"/>
      <x:c r="D21" s="551" t="n"/>
      <x:c r="E21" s="524"/>
      <x:c r="F21" s="524"/>
      <x:c r="G21" s="538"/>
      <x:c r="H21" s="538" t="n"/>
      <x:c r="I21" s="524"/>
      <x:c r="J21" s="524"/>
    </x:row>
    <x:row r="22">
      <x:c r="A22" s="538" t="n"/>
      <x:c r="B22" s="524"/>
      <x:c r="C22" s="524"/>
      <x:c r="D22" s="551" t="n"/>
      <x:c r="E22" s="524"/>
      <x:c r="F22" s="524"/>
      <x:c r="G22" s="538"/>
      <x:c r="H22" s="538" t="n"/>
      <x:c r="I22" s="524"/>
      <x:c r="J22" s="524"/>
    </x:row>
    <x:row r="23">
      <x:c r="A23" s="538" t="n"/>
      <x:c r="B23" s="524"/>
      <x:c r="C23" s="524"/>
      <x:c r="D23" s="551" t="n"/>
      <x:c r="E23" s="524"/>
      <x:c r="F23" s="524"/>
      <x:c r="G23" s="538"/>
      <x:c r="H23" s="538" t="n"/>
      <x:c r="I23" s="524"/>
      <x:c r="J23" s="524"/>
    </x:row>
    <x:row r="24">
      <x:c r="A24" s="538" t="n"/>
      <x:c r="B24" s="524"/>
      <x:c r="C24" s="524"/>
      <x:c r="D24" s="551" t="n"/>
      <x:c r="E24" s="524"/>
      <x:c r="F24" s="524"/>
      <x:c r="G24" s="538"/>
      <x:c r="H24" s="538" t="n"/>
      <x:c r="I24" s="524"/>
      <x:c r="J24" s="524"/>
    </x:row>
    <x:row r="25">
      <x:c r="A25" s="538" t="n"/>
      <x:c r="B25" s="524"/>
      <x:c r="C25" s="524"/>
      <x:c r="D25" s="551" t="n"/>
      <x:c r="E25" s="524"/>
      <x:c r="F25" s="524"/>
      <x:c r="G25" s="538"/>
      <x:c r="H25" s="538" t="n"/>
      <x:c r="I25" s="524"/>
      <x:c r="J25" s="524"/>
    </x:row>
    <x:row r="26">
      <x:c r="A26" s="538" t="n"/>
      <x:c r="B26" s="524"/>
      <x:c r="C26" s="524"/>
      <x:c r="D26" s="551" t="n"/>
      <x:c r="E26" s="524"/>
      <x:c r="F26" s="524"/>
      <x:c r="G26" s="538"/>
      <x:c r="H26" s="538" t="n"/>
      <x:c r="I26" s="524"/>
      <x:c r="J26" s="524"/>
    </x:row>
    <x:row r="27">
      <x:c r="A27" s="538" t="n"/>
      <x:c r="B27" s="524"/>
      <x:c r="C27" s="524"/>
      <x:c r="D27" s="551" t="n"/>
      <x:c r="E27" s="524"/>
      <x:c r="F27" s="524"/>
      <x:c r="G27" s="538"/>
      <x:c r="H27" s="538" t="n"/>
      <x:c r="I27" s="524"/>
      <x:c r="J27" s="524"/>
    </x:row>
    <x:row r="28">
      <x:c r="A28" s="538" t="n"/>
      <x:c r="B28" s="524"/>
      <x:c r="C28" s="524"/>
      <x:c r="D28" s="551" t="n"/>
      <x:c r="E28" s="524"/>
      <x:c r="F28" s="524"/>
      <x:c r="G28" s="538"/>
      <x:c r="H28" s="538" t="n"/>
      <x:c r="I28" s="524"/>
      <x:c r="J28" s="524"/>
    </x:row>
    <x:row r="29">
      <x:c r="A29" s="538" t="n"/>
      <x:c r="B29" s="524"/>
      <x:c r="C29" s="524"/>
      <x:c r="D29" s="551" t="n"/>
      <x:c r="E29" s="524"/>
      <x:c r="F29" s="524"/>
      <x:c r="G29" s="538"/>
      <x:c r="H29" s="538" t="n"/>
      <x:c r="I29" s="524"/>
      <x:c r="J29" s="524"/>
    </x:row>
    <x:row r="30">
      <x:c r="A30" s="538" t="n"/>
      <x:c r="B30" s="524"/>
      <x:c r="C30" s="524"/>
      <x:c r="D30" s="551" t="n"/>
      <x:c r="E30" s="524"/>
      <x:c r="F30" s="524"/>
      <x:c r="G30" s="538"/>
      <x:c r="H30" s="538" t="n"/>
      <x:c r="I30" s="524"/>
      <x:c r="J30" s="524"/>
    </x:row>
    <x:row r="31">
      <x:c r="A31" s="538" t="n"/>
      <x:c r="B31" s="524"/>
      <x:c r="C31" s="524"/>
      <x:c r="D31" s="551" t="n"/>
      <x:c r="E31" s="524"/>
      <x:c r="F31" s="524"/>
      <x:c r="G31" s="538"/>
      <x:c r="H31" s="538" t="n"/>
      <x:c r="I31" s="524"/>
      <x:c r="J31" s="524"/>
    </x:row>
    <x:row r="32">
      <x:c r="A32" s="538" t="n"/>
      <x:c r="B32" s="524"/>
      <x:c r="C32" s="524"/>
      <x:c r="D32" s="551" t="n"/>
      <x:c r="E32" s="524"/>
      <x:c r="F32" s="524"/>
      <x:c r="G32" s="538"/>
      <x:c r="H32" s="538" t="n"/>
      <x:c r="I32" s="524"/>
      <x:c r="J32" s="524"/>
    </x:row>
    <x:row r="33">
      <x:c r="A33" s="538" t="n"/>
      <x:c r="B33" s="524"/>
      <x:c r="C33" s="524"/>
      <x:c r="D33" s="551" t="n"/>
      <x:c r="E33" s="524"/>
      <x:c r="F33" s="524"/>
      <x:c r="G33" s="538"/>
      <x:c r="H33" s="538" t="n"/>
      <x:c r="I33" s="524"/>
      <x:c r="J33" s="524"/>
    </x:row>
    <x:row r="34">
      <x:c r="A34" s="538" t="n"/>
      <x:c r="B34" s="524"/>
      <x:c r="C34" s="524"/>
      <x:c r="D34" s="551" t="n"/>
      <x:c r="E34" s="524"/>
      <x:c r="F34" s="524"/>
      <x:c r="G34" s="538"/>
      <x:c r="H34" s="538" t="n"/>
      <x:c r="I34" s="524"/>
      <x:c r="J34" s="524"/>
    </x:row>
    <x:row r="35">
      <x:c r="A35" s="538" t="n"/>
      <x:c r="B35" s="524"/>
      <x:c r="C35" s="524"/>
      <x:c r="D35" s="551" t="n"/>
      <x:c r="E35" s="524"/>
      <x:c r="F35" s="524"/>
      <x:c r="G35" s="538"/>
      <x:c r="H35" s="538" t="n"/>
      <x:c r="I35" s="524"/>
      <x:c r="J35" s="524"/>
    </x:row>
    <x:row r="36">
      <x:c r="A36" s="538" t="n"/>
      <x:c r="B36" s="524"/>
      <x:c r="C36" s="524"/>
      <x:c r="D36" s="551" t="n"/>
      <x:c r="E36" s="524"/>
      <x:c r="F36" s="524"/>
      <x:c r="G36" s="538"/>
      <x:c r="H36" s="538" t="n"/>
      <x:c r="I36" s="524"/>
      <x:c r="J36" s="524"/>
    </x:row>
    <x:row r="37">
      <x:c r="A37" s="538" t="n"/>
      <x:c r="B37" s="524"/>
      <x:c r="C37" s="524"/>
      <x:c r="D37" s="551" t="n"/>
      <x:c r="E37" s="524"/>
      <x:c r="F37" s="524"/>
      <x:c r="G37" s="538"/>
      <x:c r="H37" s="538" t="n"/>
      <x:c r="I37" s="524"/>
      <x:c r="J37" s="524"/>
    </x:row>
    <x:row r="38">
      <x:c r="A38" s="538" t="n"/>
      <x:c r="B38" s="524"/>
      <x:c r="C38" s="524"/>
      <x:c r="D38" s="551" t="n"/>
      <x:c r="E38" s="524"/>
      <x:c r="F38" s="524"/>
      <x:c r="G38" s="538"/>
      <x:c r="H38" s="538" t="n"/>
      <x:c r="I38" s="524"/>
      <x:c r="J38" s="524"/>
    </x:row>
    <x:row r="39">
      <x:c r="A39" s="538" t="n"/>
      <x:c r="B39" s="524"/>
      <x:c r="C39" s="524"/>
      <x:c r="D39" s="551" t="n"/>
      <x:c r="E39" s="524"/>
      <x:c r="F39" s="524"/>
      <x:c r="G39" s="538"/>
      <x:c r="H39" s="538" t="n"/>
      <x:c r="I39" s="524"/>
      <x:c r="J39" s="524"/>
    </x:row>
    <x:row r="40">
      <x:c r="A40" s="538" t="n"/>
      <x:c r="B40" s="524"/>
      <x:c r="C40" s="524"/>
      <x:c r="D40" s="551" t="n"/>
      <x:c r="E40" s="524"/>
      <x:c r="F40" s="524"/>
      <x:c r="G40" s="538"/>
      <x:c r="H40" s="538" t="n"/>
      <x:c r="I40" s="524"/>
      <x:c r="J40" s="524"/>
    </x:row>
    <x:row r="41">
      <x:c r="A41" s="538" t="n"/>
      <x:c r="B41" s="524"/>
      <x:c r="C41" s="524"/>
      <x:c r="D41" s="551" t="n"/>
      <x:c r="E41" s="524"/>
      <x:c r="F41" s="524"/>
      <x:c r="G41" s="538"/>
      <x:c r="H41" s="538" t="n"/>
      <x:c r="I41" s="524"/>
      <x:c r="J41" s="524"/>
    </x:row>
    <x:row r="42">
      <x:c r="A42" s="538" t="n"/>
      <x:c r="B42" s="524"/>
      <x:c r="C42" s="524"/>
      <x:c r="D42" s="551" t="n"/>
      <x:c r="E42" s="524"/>
      <x:c r="F42" s="524"/>
      <x:c r="G42" s="538"/>
      <x:c r="H42" s="538" t="n"/>
      <x:c r="I42" s="524"/>
      <x:c r="J42" s="524"/>
    </x:row>
    <x:row r="43">
      <x:c r="A43" s="538" t="n"/>
      <x:c r="B43" s="524"/>
      <x:c r="C43" s="524"/>
      <x:c r="D43" s="551" t="n"/>
      <x:c r="E43" s="524"/>
      <x:c r="F43" s="524"/>
      <x:c r="G43" s="538"/>
      <x:c r="H43" s="538" t="n"/>
      <x:c r="I43" s="524"/>
      <x:c r="J43" s="524"/>
    </x:row>
    <x:row r="44">
      <x:c r="A44" s="538" t="n"/>
      <x:c r="B44" s="524"/>
      <x:c r="C44" s="524"/>
      <x:c r="D44" s="551" t="n"/>
      <x:c r="E44" s="524"/>
      <x:c r="F44" s="524"/>
      <x:c r="G44" s="538"/>
      <x:c r="H44" s="538" t="n"/>
      <x:c r="I44" s="524"/>
      <x:c r="J44" s="524"/>
    </x:row>
    <x:row r="45">
      <x:c r="A45" s="538" t="n"/>
      <x:c r="B45" s="524"/>
      <x:c r="C45" s="524"/>
      <x:c r="D45" s="551" t="n"/>
      <x:c r="E45" s="524"/>
      <x:c r="F45" s="524"/>
      <x:c r="G45" s="538"/>
      <x:c r="H45" s="538" t="n"/>
      <x:c r="I45" s="524"/>
      <x:c r="J45" s="524"/>
    </x:row>
    <x:row r="46">
      <x:c r="A46" s="538" t="n"/>
      <x:c r="B46" s="524"/>
      <x:c r="C46" s="524"/>
      <x:c r="D46" s="551" t="n"/>
      <x:c r="E46" s="524"/>
      <x:c r="F46" s="524"/>
      <x:c r="G46" s="538"/>
      <x:c r="H46" s="538" t="n"/>
      <x:c r="I46" s="524"/>
      <x:c r="J46" s="524"/>
    </x:row>
    <x:row r="47">
      <x:c r="A47" s="538" t="n"/>
      <x:c r="B47" s="524"/>
      <x:c r="C47" s="524"/>
      <x:c r="D47" s="551" t="n"/>
      <x:c r="E47" s="524"/>
      <x:c r="F47" s="524"/>
      <x:c r="G47" s="538"/>
      <x:c r="H47" s="538" t="n"/>
      <x:c r="I47" s="524"/>
      <x:c r="J47" s="524"/>
    </x:row>
    <x:row r="48">
      <x:c r="A48" s="538" t="n"/>
      <x:c r="B48" s="524"/>
      <x:c r="C48" s="524"/>
      <x:c r="D48" s="551" t="n"/>
      <x:c r="E48" s="524"/>
      <x:c r="F48" s="524"/>
      <x:c r="G48" s="538"/>
      <x:c r="H48" s="538" t="n"/>
      <x:c r="I48" s="524"/>
      <x:c r="J48" s="524"/>
    </x:row>
    <x:row r="49">
      <x:c r="A49" s="538" t="n"/>
      <x:c r="B49" s="524"/>
      <x:c r="C49" s="524"/>
      <x:c r="D49" s="551" t="n"/>
      <x:c r="E49" s="524"/>
      <x:c r="F49" s="524"/>
      <x:c r="G49" s="538"/>
      <x:c r="H49" s="538" t="n"/>
      <x:c r="I49" s="524"/>
      <x:c r="J49" s="524"/>
    </x:row>
    <x:row r="50">
      <x:c r="A50" s="538" t="n"/>
      <x:c r="B50" s="524"/>
      <x:c r="C50" s="524"/>
      <x:c r="D50" s="551" t="n"/>
      <x:c r="E50" s="524"/>
      <x:c r="F50" s="524"/>
      <x:c r="G50" s="538"/>
      <x:c r="H50" s="538" t="n"/>
      <x:c r="I50" s="524"/>
      <x:c r="J50" s="524"/>
    </x:row>
    <x:row r="51">
      <x:c r="A51" s="538" t="n"/>
      <x:c r="B51" s="524"/>
      <x:c r="C51" s="524"/>
      <x:c r="D51" s="551" t="n"/>
      <x:c r="E51" s="524"/>
      <x:c r="F51" s="524"/>
      <x:c r="G51" s="538"/>
      <x:c r="H51" s="538" t="n"/>
      <x:c r="I51" s="524"/>
      <x:c r="J51" s="524"/>
    </x:row>
    <x:row r="52">
      <x:c r="A52" s="538" t="n"/>
      <x:c r="B52" s="524"/>
      <x:c r="C52" s="524"/>
      <x:c r="D52" s="551" t="n"/>
      <x:c r="E52" s="524"/>
      <x:c r="F52" s="524"/>
      <x:c r="G52" s="538"/>
      <x:c r="H52" s="538" t="n"/>
      <x:c r="I52" s="524"/>
      <x:c r="J52" s="524"/>
    </x:row>
    <x:row r="53">
      <x:c r="A53" s="538" t="n"/>
      <x:c r="B53" s="524"/>
      <x:c r="C53" s="524"/>
      <x:c r="D53" s="551" t="n"/>
      <x:c r="E53" s="524"/>
      <x:c r="F53" s="524"/>
      <x:c r="G53" s="538"/>
      <x:c r="H53" s="538" t="n"/>
      <x:c r="I53" s="524"/>
      <x:c r="J53" s="524"/>
    </x:row>
    <x:row r="54">
      <x:c r="A54" s="538" t="n"/>
      <x:c r="B54" s="524"/>
      <x:c r="C54" s="524"/>
      <x:c r="D54" s="551" t="n"/>
      <x:c r="E54" s="524"/>
      <x:c r="F54" s="524"/>
      <x:c r="G54" s="538"/>
      <x:c r="H54" s="538" t="n"/>
      <x:c r="I54" s="524"/>
      <x:c r="J54" s="524"/>
    </x:row>
    <x:row r="55">
      <x:c r="A55" s="538" t="n"/>
      <x:c r="B55" s="524"/>
      <x:c r="C55" s="524"/>
      <x:c r="D55" s="551" t="n"/>
      <x:c r="E55" s="524"/>
      <x:c r="F55" s="524"/>
      <x:c r="G55" s="538"/>
      <x:c r="H55" s="538" t="n"/>
      <x:c r="I55" s="524"/>
      <x:c r="J55" s="524"/>
    </x:row>
    <x:row r="56">
      <x:c r="A56" s="538" t="n"/>
      <x:c r="B56" s="524"/>
      <x:c r="C56" s="524"/>
      <x:c r="D56" s="551" t="n"/>
      <x:c r="E56" s="524"/>
      <x:c r="F56" s="524"/>
      <x:c r="G56" s="538"/>
      <x:c r="H56" s="538" t="n"/>
      <x:c r="I56" s="524"/>
      <x:c r="J56" s="524"/>
    </x:row>
    <x:row r="57">
      <x:c r="A57" s="538" t="n"/>
      <x:c r="B57" s="524"/>
      <x:c r="C57" s="524"/>
      <x:c r="D57" s="551" t="n"/>
      <x:c r="E57" s="524"/>
      <x:c r="F57" s="524"/>
      <x:c r="G57" s="538"/>
      <x:c r="H57" s="538" t="n"/>
      <x:c r="I57" s="524"/>
      <x:c r="J57" s="524"/>
    </x:row>
    <x:row r="58">
      <x:c r="A58" s="538" t="n"/>
      <x:c r="B58" s="524"/>
      <x:c r="C58" s="524"/>
      <x:c r="D58" s="551" t="n"/>
      <x:c r="E58" s="524"/>
      <x:c r="F58" s="524"/>
      <x:c r="G58" s="538"/>
      <x:c r="H58" s="538" t="n"/>
      <x:c r="I58" s="524"/>
      <x:c r="J58" s="524"/>
    </x:row>
    <x:row r="59">
      <x:c r="A59" s="538" t="n"/>
      <x:c r="B59" s="524"/>
      <x:c r="C59" s="524"/>
      <x:c r="D59" s="551" t="n"/>
      <x:c r="E59" s="524"/>
      <x:c r="F59" s="524"/>
      <x:c r="G59" s="538"/>
      <x:c r="H59" s="538" t="n"/>
      <x:c r="I59" s="524"/>
      <x:c r="J59" s="524"/>
    </x:row>
    <x:row r="60">
      <x:c r="A60" s="538" t="n"/>
      <x:c r="B60" s="524"/>
      <x:c r="C60" s="524"/>
      <x:c r="D60" s="551" t="n"/>
      <x:c r="E60" s="524"/>
      <x:c r="F60" s="524"/>
      <x:c r="G60" s="538"/>
      <x:c r="H60" s="538" t="n"/>
      <x:c r="I60" s="524"/>
      <x:c r="J60" s="524"/>
    </x:row>
    <x:row r="61">
      <x:c r="A61" s="538" t="n"/>
      <x:c r="B61" s="524"/>
      <x:c r="C61" s="524"/>
      <x:c r="D61" s="551" t="n"/>
      <x:c r="E61" s="524"/>
      <x:c r="F61" s="524"/>
      <x:c r="G61" s="538"/>
      <x:c r="H61" s="538" t="n"/>
      <x:c r="I61" s="524"/>
      <x:c r="J61" s="524"/>
    </x:row>
    <x:row r="62">
      <x:c r="A62" s="538" t="n"/>
      <x:c r="B62" s="524"/>
      <x:c r="C62" s="524"/>
      <x:c r="D62" s="551" t="n"/>
      <x:c r="E62" s="524"/>
      <x:c r="F62" s="524"/>
      <x:c r="G62" s="538"/>
      <x:c r="H62" s="538" t="n"/>
      <x:c r="I62" s="524"/>
      <x:c r="J62" s="524"/>
    </x:row>
    <x:row r="63">
      <x:c r="A63" s="538" t="n"/>
      <x:c r="B63" s="524"/>
      <x:c r="C63" s="524"/>
      <x:c r="D63" s="551" t="n"/>
      <x:c r="E63" s="524"/>
      <x:c r="F63" s="524"/>
      <x:c r="G63" s="538"/>
      <x:c r="H63" s="538" t="n"/>
      <x:c r="I63" s="524"/>
      <x:c r="J63" s="524"/>
    </x:row>
    <x:row r="64">
      <x:c r="A64" s="538" t="n"/>
      <x:c r="B64" s="524"/>
      <x:c r="C64" s="524"/>
      <x:c r="D64" s="551" t="n"/>
      <x:c r="E64" s="524"/>
      <x:c r="F64" s="524"/>
      <x:c r="G64" s="538"/>
      <x:c r="H64" s="538" t="n"/>
      <x:c r="I64" s="524"/>
      <x:c r="J64" s="524"/>
    </x:row>
    <x:row r="65">
      <x:c r="A65" s="538" t="n"/>
      <x:c r="B65" s="524"/>
      <x:c r="C65" s="524"/>
      <x:c r="D65" s="551" t="n"/>
      <x:c r="E65" s="524"/>
      <x:c r="F65" s="524"/>
      <x:c r="G65" s="538"/>
      <x:c r="H65" s="538" t="n"/>
      <x:c r="I65" s="524"/>
      <x:c r="J65" s="524"/>
    </x:row>
    <x:row r="66">
      <x:c r="A66" s="538" t="n"/>
      <x:c r="B66" s="524"/>
      <x:c r="C66" s="524"/>
      <x:c r="D66" s="551" t="n"/>
      <x:c r="E66" s="524"/>
      <x:c r="F66" s="524"/>
      <x:c r="G66" s="538"/>
      <x:c r="H66" s="538" t="n"/>
      <x:c r="I66" s="524"/>
      <x:c r="J66" s="524"/>
    </x:row>
    <x:row r="67">
      <x:c r="A67" s="538" t="n"/>
      <x:c r="B67" s="524"/>
      <x:c r="C67" s="524"/>
      <x:c r="D67" s="551" t="n"/>
      <x:c r="E67" s="524"/>
      <x:c r="F67" s="524"/>
      <x:c r="G67" s="538"/>
      <x:c r="H67" s="538" t="n"/>
      <x:c r="I67" s="524"/>
      <x:c r="J67" s="524"/>
    </x:row>
    <x:row r="68">
      <x:c r="A68" s="538" t="n"/>
      <x:c r="B68" s="524"/>
      <x:c r="C68" s="524"/>
      <x:c r="D68" s="551" t="n"/>
      <x:c r="E68" s="524"/>
      <x:c r="F68" s="524"/>
      <x:c r="G68" s="538"/>
      <x:c r="H68" s="538" t="n"/>
      <x:c r="I68" s="524"/>
      <x:c r="J68" s="524"/>
    </x:row>
    <x:row r="69">
      <x:c r="A69" s="538" t="n"/>
      <x:c r="B69" s="524"/>
      <x:c r="C69" s="524"/>
      <x:c r="D69" s="551" t="n"/>
      <x:c r="E69" s="524"/>
      <x:c r="F69" s="524"/>
      <x:c r="G69" s="538"/>
      <x:c r="H69" s="538" t="n"/>
      <x:c r="I69" s="524"/>
      <x:c r="J69" s="524"/>
    </x:row>
    <x:row r="70">
      <x:c r="A70" s="538" t="n"/>
      <x:c r="B70" s="524"/>
      <x:c r="C70" s="524"/>
      <x:c r="D70" s="551" t="n"/>
      <x:c r="E70" s="524"/>
      <x:c r="F70" s="524"/>
      <x:c r="G70" s="538"/>
      <x:c r="H70" s="538" t="n"/>
      <x:c r="I70" s="524"/>
      <x:c r="J70" s="524"/>
    </x:row>
    <x:row r="71">
      <x:c r="A71" s="538" t="n"/>
      <x:c r="B71" s="524"/>
      <x:c r="C71" s="524"/>
      <x:c r="D71" s="551" t="n"/>
      <x:c r="E71" s="524"/>
      <x:c r="F71" s="524"/>
      <x:c r="G71" s="538"/>
      <x:c r="H71" s="538" t="n"/>
      <x:c r="I71" s="524"/>
      <x:c r="J71" s="524"/>
    </x:row>
    <x:row r="72">
      <x:c r="A72" s="538" t="n"/>
      <x:c r="B72" s="524"/>
      <x:c r="C72" s="524"/>
      <x:c r="D72" s="551" t="n"/>
      <x:c r="E72" s="524"/>
      <x:c r="F72" s="524"/>
      <x:c r="G72" s="538"/>
      <x:c r="H72" s="538" t="n"/>
      <x:c r="I72" s="524"/>
      <x:c r="J72" s="524"/>
    </x:row>
    <x:row r="73">
      <x:c r="A73" s="538" t="n"/>
      <x:c r="B73" s="524"/>
      <x:c r="C73" s="524"/>
      <x:c r="D73" s="551" t="n"/>
      <x:c r="E73" s="524"/>
      <x:c r="F73" s="524"/>
      <x:c r="G73" s="538"/>
      <x:c r="H73" s="538" t="n"/>
      <x:c r="I73" s="524"/>
      <x:c r="J73" s="524"/>
    </x:row>
    <x:row r="74">
      <x:c r="A74" s="538" t="n"/>
      <x:c r="B74" s="524"/>
      <x:c r="C74" s="524"/>
      <x:c r="D74" s="551" t="n"/>
      <x:c r="E74" s="524"/>
      <x:c r="F74" s="524"/>
      <x:c r="G74" s="538"/>
      <x:c r="H74" s="538" t="n"/>
      <x:c r="I74" s="524"/>
      <x:c r="J74" s="524"/>
    </x:row>
    <x:row r="75">
      <x:c r="A75" s="538" t="n"/>
      <x:c r="B75" s="524"/>
      <x:c r="C75" s="524"/>
      <x:c r="D75" s="551" t="n"/>
      <x:c r="E75" s="524"/>
      <x:c r="F75" s="524"/>
      <x:c r="G75" s="538"/>
      <x:c r="H75" s="538" t="n"/>
      <x:c r="I75" s="524"/>
      <x:c r="J75" s="524"/>
    </x:row>
    <x:row r="76">
      <x:c r="A76" s="538" t="n"/>
      <x:c r="B76" s="524"/>
      <x:c r="C76" s="524"/>
      <x:c r="D76" s="551" t="n"/>
      <x:c r="E76" s="524"/>
      <x:c r="F76" s="524"/>
      <x:c r="G76" s="538"/>
      <x:c r="H76" s="538" t="n"/>
      <x:c r="I76" s="524"/>
      <x:c r="J76" s="524"/>
    </x:row>
    <x:row r="77">
      <x:c r="A77" s="538" t="n"/>
      <x:c r="B77" s="524"/>
      <x:c r="C77" s="524"/>
      <x:c r="D77" s="551" t="n"/>
      <x:c r="E77" s="524"/>
      <x:c r="F77" s="524"/>
      <x:c r="G77" s="538"/>
      <x:c r="H77" s="538" t="n"/>
      <x:c r="I77" s="524"/>
      <x:c r="J77" s="524"/>
    </x:row>
    <x:row r="78">
      <x:c r="A78" s="538" t="n"/>
      <x:c r="B78" s="524"/>
      <x:c r="C78" s="524"/>
      <x:c r="D78" s="551" t="n"/>
      <x:c r="E78" s="524"/>
      <x:c r="F78" s="524"/>
      <x:c r="G78" s="538"/>
      <x:c r="H78" s="538" t="n"/>
      <x:c r="I78" s="524"/>
      <x:c r="J78" s="524"/>
    </x:row>
    <x:row r="79">
      <x:c r="A79" s="538" t="n"/>
      <x:c r="B79" s="524"/>
      <x:c r="C79" s="524"/>
      <x:c r="D79" s="551" t="n"/>
      <x:c r="E79" s="524"/>
      <x:c r="F79" s="524"/>
      <x:c r="G79" s="538"/>
      <x:c r="H79" s="538" t="n"/>
      <x:c r="I79" s="524"/>
      <x:c r="J79" s="524"/>
    </x:row>
    <x:row r="80">
      <x:c r="A80" s="538" t="n"/>
      <x:c r="B80" s="524"/>
      <x:c r="C80" s="524"/>
      <x:c r="D80" s="551" t="n"/>
      <x:c r="E80" s="524"/>
      <x:c r="F80" s="524"/>
      <x:c r="G80" s="538"/>
      <x:c r="H80" s="538" t="n"/>
      <x:c r="I80" s="524"/>
      <x:c r="J80" s="524"/>
    </x:row>
    <x:row r="81">
      <x:c r="A81" s="538" t="n"/>
      <x:c r="B81" s="524"/>
      <x:c r="C81" s="524"/>
      <x:c r="D81" s="551" t="n"/>
      <x:c r="E81" s="524"/>
      <x:c r="F81" s="524"/>
      <x:c r="G81" s="538"/>
      <x:c r="H81" s="538" t="n"/>
      <x:c r="I81" s="524"/>
      <x:c r="J81" s="524"/>
    </x:row>
    <x:row r="82">
      <x:c r="A82" s="538" t="n"/>
      <x:c r="B82" s="524"/>
      <x:c r="C82" s="524"/>
      <x:c r="D82" s="551" t="n"/>
      <x:c r="E82" s="524"/>
      <x:c r="F82" s="524"/>
      <x:c r="G82" s="538"/>
      <x:c r="H82" s="538" t="n"/>
      <x:c r="I82" s="524"/>
      <x:c r="J82" s="524"/>
    </x:row>
    <x:row r="83">
      <x:c r="A83" s="538" t="n"/>
      <x:c r="B83" s="524"/>
      <x:c r="C83" s="524"/>
      <x:c r="D83" s="551" t="n"/>
      <x:c r="E83" s="524"/>
      <x:c r="F83" s="524"/>
      <x:c r="G83" s="538"/>
      <x:c r="H83" s="538" t="n"/>
      <x:c r="I83" s="524"/>
      <x:c r="J83" s="524"/>
    </x:row>
    <x:row r="84">
      <x:c r="A84" s="538" t="n"/>
      <x:c r="B84" s="524"/>
      <x:c r="C84" s="524"/>
      <x:c r="D84" s="551" t="n"/>
      <x:c r="E84" s="524"/>
      <x:c r="F84" s="524"/>
      <x:c r="G84" s="538"/>
      <x:c r="H84" s="538" t="n"/>
      <x:c r="I84" s="524"/>
      <x:c r="J84" s="524"/>
    </x:row>
    <x:row r="85">
      <x:c r="A85" s="538" t="n"/>
      <x:c r="B85" s="524"/>
      <x:c r="C85" s="524"/>
      <x:c r="D85" s="551" t="n"/>
      <x:c r="E85" s="524"/>
      <x:c r="F85" s="524"/>
      <x:c r="G85" s="538"/>
      <x:c r="H85" s="538" t="n"/>
      <x:c r="I85" s="524"/>
      <x:c r="J85" s="524"/>
    </x:row>
    <x:row r="86">
      <x:c r="A86" s="538" t="n"/>
      <x:c r="B86" s="524"/>
      <x:c r="C86" s="524"/>
      <x:c r="D86" s="551" t="n"/>
      <x:c r="E86" s="524"/>
      <x:c r="F86" s="524"/>
      <x:c r="G86" s="538"/>
      <x:c r="H86" s="538" t="n"/>
      <x:c r="I86" s="524"/>
      <x:c r="J86" s="524"/>
    </x:row>
    <x:row r="87">
      <x:c r="A87" s="538" t="n"/>
      <x:c r="B87" s="524"/>
      <x:c r="C87" s="524"/>
      <x:c r="D87" s="551" t="n"/>
      <x:c r="E87" s="524"/>
      <x:c r="F87" s="524"/>
      <x:c r="G87" s="538"/>
      <x:c r="H87" s="538" t="n"/>
      <x:c r="I87" s="524"/>
      <x:c r="J87" s="524"/>
    </x:row>
    <x:row r="88">
      <x:c r="A88" s="538" t="n"/>
      <x:c r="B88" s="524"/>
      <x:c r="C88" s="524"/>
      <x:c r="D88" s="551" t="n"/>
      <x:c r="E88" s="524"/>
      <x:c r="F88" s="524"/>
      <x:c r="G88" s="538"/>
      <x:c r="H88" s="538" t="n"/>
      <x:c r="I88" s="524"/>
      <x:c r="J88" s="524"/>
    </x:row>
    <x:row r="89">
      <x:c r="A89" s="538" t="n"/>
      <x:c r="B89" s="524"/>
      <x:c r="C89" s="524"/>
      <x:c r="D89" s="551" t="n"/>
      <x:c r="E89" s="524"/>
      <x:c r="F89" s="524"/>
      <x:c r="G89" s="538"/>
      <x:c r="H89" s="538" t="n"/>
      <x:c r="I89" s="524"/>
      <x:c r="J89" s="524"/>
    </x:row>
    <x:row r="90">
      <x:c r="A90" s="538" t="n"/>
      <x:c r="B90" s="524"/>
      <x:c r="C90" s="524"/>
      <x:c r="D90" s="551" t="n"/>
      <x:c r="E90" s="524"/>
      <x:c r="F90" s="524"/>
      <x:c r="G90" s="538"/>
      <x:c r="H90" s="538" t="n"/>
      <x:c r="I90" s="524"/>
      <x:c r="J90" s="524"/>
    </x:row>
    <x:row r="91">
      <x:c r="A91" s="538" t="n"/>
      <x:c r="B91" s="524"/>
      <x:c r="C91" s="524"/>
      <x:c r="D91" s="551" t="n"/>
      <x:c r="E91" s="524"/>
      <x:c r="F91" s="524"/>
      <x:c r="G91" s="538"/>
      <x:c r="H91" s="538" t="n"/>
      <x:c r="I91" s="524"/>
      <x:c r="J91" s="524"/>
    </x:row>
    <x:row r="92">
      <x:c r="A92" s="538" t="n"/>
      <x:c r="B92" s="524"/>
      <x:c r="C92" s="524"/>
      <x:c r="D92" s="551" t="n"/>
      <x:c r="E92" s="524"/>
      <x:c r="F92" s="524"/>
      <x:c r="G92" s="538"/>
      <x:c r="H92" s="538" t="n"/>
      <x:c r="I92" s="524"/>
      <x:c r="J92" s="524"/>
    </x:row>
    <x:row r="93">
      <x:c r="A93" s="538" t="n"/>
      <x:c r="B93" s="524"/>
      <x:c r="C93" s="524"/>
      <x:c r="D93" s="551" t="n"/>
      <x:c r="E93" s="524"/>
      <x:c r="F93" s="524"/>
      <x:c r="G93" s="538"/>
      <x:c r="H93" s="538" t="n"/>
      <x:c r="I93" s="524"/>
      <x:c r="J93" s="524"/>
    </x:row>
    <x:row r="94">
      <x:c r="A94" s="538" t="n"/>
      <x:c r="B94" s="524"/>
      <x:c r="C94" s="524"/>
      <x:c r="D94" s="551" t="n"/>
      <x:c r="E94" s="524"/>
      <x:c r="F94" s="524"/>
      <x:c r="G94" s="538"/>
      <x:c r="H94" s="538" t="n"/>
      <x:c r="I94" s="524"/>
      <x:c r="J94" s="524"/>
    </x:row>
    <x:row r="95">
      <x:c r="A95" s="538" t="n"/>
      <x:c r="B95" s="524"/>
      <x:c r="C95" s="524"/>
      <x:c r="D95" s="551" t="n"/>
      <x:c r="E95" s="524"/>
      <x:c r="F95" s="524"/>
      <x:c r="G95" s="538"/>
      <x:c r="H95" s="538" t="n"/>
      <x:c r="I95" s="524"/>
      <x:c r="J95" s="524"/>
    </x:row>
    <x:row r="96">
      <x:c r="A96" s="538" t="n"/>
      <x:c r="B96" s="524"/>
      <x:c r="C96" s="524"/>
      <x:c r="D96" s="551" t="n"/>
      <x:c r="E96" s="524"/>
      <x:c r="F96" s="524"/>
      <x:c r="G96" s="538"/>
      <x:c r="H96" s="538" t="n"/>
      <x:c r="I96" s="524"/>
      <x:c r="J96" s="524"/>
    </x:row>
    <x:row r="97">
      <x:c r="A97" s="538" t="n"/>
      <x:c r="B97" s="524"/>
      <x:c r="C97" s="524"/>
      <x:c r="D97" s="551" t="n"/>
      <x:c r="E97" s="524"/>
      <x:c r="F97" s="524"/>
      <x:c r="G97" s="538"/>
      <x:c r="H97" s="538" t="n"/>
      <x:c r="I97" s="524"/>
      <x:c r="J97" s="524"/>
    </x:row>
    <x:row r="98">
      <x:c r="A98" s="538" t="n"/>
      <x:c r="B98" s="524"/>
      <x:c r="C98" s="524"/>
      <x:c r="D98" s="551" t="n"/>
      <x:c r="E98" s="524"/>
      <x:c r="F98" s="524"/>
      <x:c r="G98" s="538"/>
      <x:c r="H98" s="538" t="n"/>
      <x:c r="I98" s="524"/>
      <x:c r="J98" s="524"/>
    </x:row>
    <x:row r="99">
      <x:c r="A99" s="538" t="n"/>
      <x:c r="B99" s="524"/>
      <x:c r="C99" s="524"/>
      <x:c r="D99" s="551" t="n"/>
      <x:c r="E99" s="524"/>
      <x:c r="F99" s="524"/>
      <x:c r="G99" s="538"/>
      <x:c r="H99" s="538" t="n"/>
      <x:c r="I99" s="524"/>
      <x:c r="J99" s="524"/>
    </x:row>
    <x:row r="100">
      <x:c r="A100" s="538" t="n"/>
      <x:c r="B100" s="524"/>
      <x:c r="C100" s="524"/>
      <x:c r="D100" s="551" t="n"/>
      <x:c r="E100" s="524"/>
      <x:c r="F100" s="524"/>
      <x:c r="G100" s="538"/>
      <x:c r="H100" s="538" t="n"/>
      <x:c r="I100" s="524"/>
      <x:c r="J100" s="524"/>
    </x:row>
    <x:row r="101">
      <x:c r="A101" s="538" t="n"/>
      <x:c r="B101" s="524"/>
      <x:c r="C101" s="524"/>
      <x:c r="D101" s="551" t="n"/>
      <x:c r="E101" s="524"/>
      <x:c r="F101" s="524"/>
      <x:c r="G101" s="538"/>
      <x:c r="H101" s="538" t="n"/>
      <x:c r="I101" s="524"/>
      <x:c r="J101" s="524"/>
    </x:row>
    <x:row r="102">
      <x:c r="A102" s="538" t="n"/>
      <x:c r="B102" s="524"/>
      <x:c r="C102" s="524"/>
      <x:c r="D102" s="551" t="n"/>
      <x:c r="E102" s="524"/>
      <x:c r="F102" s="524"/>
      <x:c r="G102" s="538"/>
      <x:c r="H102" s="538" t="n"/>
      <x:c r="I102" s="524"/>
      <x:c r="J102" s="524"/>
    </x:row>
    <x:row r="103">
      <x:c r="A103" s="538" t="n"/>
      <x:c r="B103" s="524"/>
      <x:c r="C103" s="524"/>
      <x:c r="D103" s="551" t="n"/>
      <x:c r="E103" s="524"/>
      <x:c r="F103" s="524"/>
      <x:c r="G103" s="538"/>
      <x:c r="H103" s="538" t="n"/>
      <x:c r="I103" s="524"/>
      <x:c r="J103" s="524"/>
    </x:row>
    <x:row r="104">
      <x:c r="A104" s="538" t="n"/>
      <x:c r="B104" s="524"/>
      <x:c r="C104" s="524"/>
      <x:c r="D104" s="551" t="n"/>
      <x:c r="E104" s="524"/>
      <x:c r="F104" s="524"/>
      <x:c r="G104" s="538"/>
      <x:c r="H104" s="538" t="n"/>
      <x:c r="I104" s="524"/>
      <x:c r="J104" s="524"/>
    </x:row>
    <x:row r="105">
      <x:c r="A105" s="538" t="n"/>
      <x:c r="B105" s="524"/>
      <x:c r="C105" s="524"/>
      <x:c r="D105" s="551" t="n"/>
      <x:c r="E105" s="524"/>
      <x:c r="F105" s="524"/>
      <x:c r="G105" s="538"/>
      <x:c r="H105" s="538" t="n"/>
      <x:c r="I105" s="524"/>
      <x:c r="J105" s="524"/>
    </x:row>
    <x:row r="106">
      <x:c r="A106" s="538" t="n"/>
      <x:c r="B106" s="524"/>
      <x:c r="C106" s="524"/>
      <x:c r="D106" s="551" t="n"/>
      <x:c r="E106" s="524"/>
      <x:c r="F106" s="524"/>
      <x:c r="G106" s="538"/>
      <x:c r="H106" s="538" t="n"/>
      <x:c r="I106" s="524"/>
      <x:c r="J106" s="524"/>
    </x:row>
    <x:row r="107">
      <x:c r="A107" s="538" t="n"/>
      <x:c r="B107" s="524"/>
      <x:c r="C107" s="524"/>
      <x:c r="D107" s="551" t="n"/>
      <x:c r="E107" s="524"/>
      <x:c r="F107" s="524"/>
      <x:c r="G107" s="538"/>
      <x:c r="H107" s="538" t="n"/>
      <x:c r="I107" s="524"/>
      <x:c r="J107" s="524"/>
    </x:row>
    <x:row r="108">
      <x:c r="A108" s="538" t="n"/>
      <x:c r="B108" s="524"/>
      <x:c r="C108" s="524"/>
      <x:c r="D108" s="551" t="n"/>
      <x:c r="E108" s="524"/>
      <x:c r="F108" s="524"/>
      <x:c r="G108" s="538"/>
      <x:c r="H108" s="538" t="n"/>
      <x:c r="I108" s="524"/>
      <x:c r="J108" s="524"/>
    </x:row>
    <x:row r="109">
      <x:c r="A109" s="538" t="n"/>
      <x:c r="B109" s="524"/>
      <x:c r="C109" s="524"/>
      <x:c r="D109" s="551" t="n"/>
      <x:c r="E109" s="524"/>
      <x:c r="F109" s="524"/>
      <x:c r="G109" s="538"/>
      <x:c r="H109" s="538" t="n"/>
      <x:c r="I109" s="524"/>
      <x:c r="J109" s="524"/>
    </x:row>
    <x:row r="110">
      <x:c r="A110" s="538" t="n"/>
      <x:c r="B110" s="524"/>
      <x:c r="C110" s="524"/>
      <x:c r="D110" s="551" t="n"/>
      <x:c r="E110" s="524"/>
      <x:c r="F110" s="524"/>
      <x:c r="G110" s="538"/>
      <x:c r="H110" s="538" t="n"/>
      <x:c r="I110" s="524"/>
      <x:c r="J110" s="524"/>
    </x:row>
    <x:row r="111">
      <x:c r="A111" s="538" t="n"/>
      <x:c r="B111" s="524"/>
      <x:c r="C111" s="524"/>
      <x:c r="D111" s="551" t="n"/>
      <x:c r="E111" s="524"/>
      <x:c r="F111" s="524"/>
      <x:c r="G111" s="538"/>
      <x:c r="H111" s="538" t="n"/>
      <x:c r="I111" s="524"/>
      <x:c r="J111" s="524"/>
    </x:row>
    <x:row r="112">
      <x:c r="A112" s="538" t="n"/>
      <x:c r="B112" s="524"/>
      <x:c r="C112" s="524"/>
      <x:c r="D112" s="551" t="n"/>
      <x:c r="E112" s="524"/>
      <x:c r="F112" s="524"/>
      <x:c r="G112" s="538"/>
      <x:c r="H112" s="538" t="n"/>
      <x:c r="I112" s="524"/>
      <x:c r="J112" s="524"/>
    </x:row>
    <x:row r="113">
      <x:c r="A113" s="538" t="n"/>
      <x:c r="B113" s="524"/>
      <x:c r="C113" s="524"/>
      <x:c r="D113" s="551" t="n"/>
      <x:c r="E113" s="524"/>
      <x:c r="F113" s="524"/>
      <x:c r="G113" s="538"/>
      <x:c r="H113" s="538" t="n"/>
      <x:c r="I113" s="524"/>
      <x:c r="J113" s="524"/>
    </x:row>
    <x:row r="114">
      <x:c r="A114" s="538" t="n"/>
      <x:c r="B114" s="524"/>
      <x:c r="C114" s="524"/>
      <x:c r="D114" s="551" t="n"/>
      <x:c r="E114" s="524"/>
      <x:c r="F114" s="524"/>
      <x:c r="G114" s="538"/>
      <x:c r="H114" s="538" t="n"/>
      <x:c r="I114" s="524"/>
      <x:c r="J114" s="524"/>
    </x:row>
    <x:row r="115">
      <x:c r="A115" s="538" t="n"/>
      <x:c r="B115" s="524"/>
      <x:c r="C115" s="524"/>
      <x:c r="D115" s="551" t="n"/>
      <x:c r="E115" s="524"/>
      <x:c r="F115" s="524"/>
      <x:c r="G115" s="538"/>
      <x:c r="H115" s="538" t="n"/>
      <x:c r="I115" s="524"/>
      <x:c r="J115" s="524"/>
    </x:row>
    <x:row r="116">
      <x:c r="A116" s="538" t="n"/>
      <x:c r="B116" s="524"/>
      <x:c r="C116" s="524"/>
      <x:c r="D116" s="551" t="n"/>
      <x:c r="E116" s="524"/>
      <x:c r="F116" s="524"/>
      <x:c r="G116" s="538"/>
      <x:c r="H116" s="538" t="n"/>
      <x:c r="I116" s="524"/>
      <x:c r="J116" s="524"/>
    </x:row>
    <x:row r="117">
      <x:c r="A117" s="538" t="n"/>
      <x:c r="B117" s="524"/>
      <x:c r="C117" s="524"/>
      <x:c r="D117" s="551" t="n"/>
      <x:c r="E117" s="524"/>
      <x:c r="F117" s="524"/>
      <x:c r="G117" s="538"/>
      <x:c r="H117" s="538" t="n"/>
      <x:c r="I117" s="524"/>
      <x:c r="J117" s="524"/>
    </x:row>
    <x:row r="118">
      <x:c r="A118" s="538" t="n"/>
      <x:c r="B118" s="524"/>
      <x:c r="C118" s="524"/>
      <x:c r="D118" s="551" t="n"/>
      <x:c r="E118" s="524"/>
      <x:c r="F118" s="524"/>
      <x:c r="G118" s="538"/>
      <x:c r="H118" s="538" t="n"/>
      <x:c r="I118" s="524"/>
      <x:c r="J118" s="524"/>
    </x:row>
    <x:row r="119">
      <x:c r="A119" s="538" t="n"/>
      <x:c r="B119" s="524"/>
      <x:c r="C119" s="524"/>
      <x:c r="D119" s="551" t="n"/>
      <x:c r="E119" s="524"/>
      <x:c r="F119" s="524"/>
      <x:c r="G119" s="538"/>
      <x:c r="H119" s="538" t="n"/>
      <x:c r="I119" s="524"/>
      <x:c r="J119" s="524"/>
    </x:row>
    <x:row r="120">
      <x:c r="A120" s="538" t="n"/>
      <x:c r="B120" s="524"/>
      <x:c r="C120" s="524"/>
      <x:c r="D120" s="551" t="n"/>
      <x:c r="E120" s="524"/>
      <x:c r="F120" s="524"/>
      <x:c r="G120" s="538"/>
      <x:c r="H120" s="538" t="n"/>
      <x:c r="I120" s="524"/>
      <x:c r="J120" s="524"/>
    </x:row>
    <x:row r="121">
      <x:c r="A121" s="538" t="n"/>
      <x:c r="B121" s="524"/>
      <x:c r="C121" s="524"/>
      <x:c r="D121" s="551" t="n"/>
      <x:c r="E121" s="524"/>
      <x:c r="F121" s="524"/>
      <x:c r="G121" s="538"/>
      <x:c r="H121" s="538" t="n"/>
      <x:c r="I121" s="524"/>
      <x:c r="J121" s="524"/>
    </x:row>
    <x:row r="122">
      <x:c r="A122" s="538" t="n"/>
      <x:c r="B122" s="524"/>
      <x:c r="C122" s="524"/>
      <x:c r="D122" s="551" t="n"/>
      <x:c r="E122" s="524"/>
      <x:c r="F122" s="524"/>
      <x:c r="G122" s="538"/>
      <x:c r="H122" s="538" t="n"/>
      <x:c r="I122" s="524"/>
      <x:c r="J122" s="524"/>
    </x:row>
    <x:row r="123">
      <x:c r="A123" s="538" t="n"/>
      <x:c r="B123" s="524"/>
      <x:c r="C123" s="524"/>
      <x:c r="D123" s="551" t="n"/>
      <x:c r="E123" s="524"/>
      <x:c r="F123" s="524"/>
      <x:c r="G123" s="538"/>
      <x:c r="H123" s="538" t="n"/>
      <x:c r="I123" s="524"/>
      <x:c r="J123" s="524"/>
    </x:row>
    <x:row r="124">
      <x:c r="A124" s="538" t="n"/>
      <x:c r="B124" s="524"/>
      <x:c r="C124" s="524"/>
      <x:c r="D124" s="551" t="n"/>
      <x:c r="E124" s="524"/>
      <x:c r="F124" s="524"/>
      <x:c r="G124" s="538"/>
      <x:c r="H124" s="538" t="n"/>
      <x:c r="I124" s="524"/>
      <x:c r="J124" s="524"/>
    </x:row>
    <x:row r="125">
      <x:c r="A125" s="538" t="n"/>
      <x:c r="B125" s="524"/>
      <x:c r="C125" s="524"/>
      <x:c r="D125" s="551" t="n"/>
      <x:c r="E125" s="524"/>
      <x:c r="F125" s="524"/>
      <x:c r="G125" s="538"/>
      <x:c r="H125" s="538" t="n"/>
      <x:c r="I125" s="524"/>
      <x:c r="J125" s="524"/>
    </x:row>
    <x:row r="126">
      <x:c r="A126" s="538" t="n"/>
      <x:c r="B126" s="524"/>
      <x:c r="C126" s="524"/>
      <x:c r="D126" s="551" t="n"/>
      <x:c r="E126" s="524"/>
      <x:c r="F126" s="524"/>
      <x:c r="G126" s="538"/>
      <x:c r="H126" s="538" t="n"/>
      <x:c r="I126" s="524"/>
      <x:c r="J126" s="524"/>
    </x:row>
    <x:row r="127">
      <x:c r="A127" s="538" t="n"/>
      <x:c r="B127" s="524"/>
      <x:c r="C127" s="524"/>
      <x:c r="D127" s="551" t="n"/>
      <x:c r="E127" s="524"/>
      <x:c r="F127" s="524"/>
      <x:c r="G127" s="538"/>
      <x:c r="H127" s="538" t="n"/>
      <x:c r="I127" s="524"/>
      <x:c r="J127" s="524"/>
    </x:row>
    <x:row r="128">
      <x:c r="A128" s="538" t="n"/>
      <x:c r="B128" s="524"/>
      <x:c r="C128" s="524"/>
      <x:c r="D128" s="551" t="n"/>
      <x:c r="E128" s="524"/>
      <x:c r="F128" s="524"/>
      <x:c r="G128" s="538"/>
      <x:c r="H128" s="538" t="n"/>
      <x:c r="I128" s="524"/>
      <x:c r="J128" s="524"/>
    </x:row>
    <x:row r="129">
      <x:c r="A129" s="538" t="n"/>
      <x:c r="B129" s="524"/>
      <x:c r="C129" s="524"/>
      <x:c r="D129" s="551" t="n"/>
      <x:c r="E129" s="524"/>
      <x:c r="F129" s="524"/>
      <x:c r="G129" s="538"/>
      <x:c r="H129" s="538" t="n"/>
      <x:c r="I129" s="524"/>
      <x:c r="J129" s="524"/>
    </x:row>
    <x:row r="130">
      <x:c r="A130" s="538" t="n"/>
      <x:c r="B130" s="524"/>
      <x:c r="C130" s="524"/>
      <x:c r="D130" s="551" t="n"/>
      <x:c r="E130" s="524"/>
      <x:c r="F130" s="524"/>
      <x:c r="G130" s="538"/>
      <x:c r="H130" s="538" t="n"/>
      <x:c r="I130" s="524"/>
      <x:c r="J130" s="524"/>
    </x:row>
    <x:row r="131">
      <x:c r="A131" s="538" t="n"/>
      <x:c r="B131" s="524"/>
      <x:c r="C131" s="524"/>
      <x:c r="D131" s="551" t="n"/>
      <x:c r="E131" s="524"/>
      <x:c r="F131" s="524"/>
      <x:c r="G131" s="538"/>
      <x:c r="H131" s="538" t="n"/>
      <x:c r="I131" s="524"/>
      <x:c r="J131" s="524"/>
    </x:row>
    <x:row r="132">
      <x:c r="A132" s="538" t="n"/>
      <x:c r="B132" s="524"/>
      <x:c r="C132" s="524"/>
      <x:c r="D132" s="551" t="n"/>
      <x:c r="E132" s="524"/>
      <x:c r="F132" s="524"/>
      <x:c r="G132" s="538"/>
      <x:c r="H132" s="538" t="n"/>
      <x:c r="I132" s="524"/>
      <x:c r="J132" s="524"/>
    </x:row>
    <x:row r="133">
      <x:c r="A133" s="538" t="n"/>
      <x:c r="B133" s="524"/>
      <x:c r="C133" s="524"/>
      <x:c r="D133" s="551" t="n"/>
      <x:c r="E133" s="524"/>
      <x:c r="F133" s="524"/>
      <x:c r="G133" s="538"/>
      <x:c r="H133" s="538" t="n"/>
      <x:c r="I133" s="524"/>
      <x:c r="J133" s="524"/>
    </x:row>
    <x:row r="134">
      <x:c r="A134" s="538" t="n"/>
      <x:c r="B134" s="524"/>
      <x:c r="C134" s="524"/>
      <x:c r="D134" s="551" t="n"/>
      <x:c r="E134" s="524"/>
      <x:c r="F134" s="524"/>
      <x:c r="G134" s="538"/>
      <x:c r="H134" s="538" t="n"/>
      <x:c r="I134" s="524"/>
      <x:c r="J134" s="524"/>
    </x:row>
    <x:row r="135">
      <x:c r="A135" s="538" t="n"/>
      <x:c r="B135" s="524"/>
      <x:c r="C135" s="524"/>
      <x:c r="D135" s="551" t="n"/>
      <x:c r="E135" s="524"/>
      <x:c r="F135" s="524"/>
      <x:c r="G135" s="538"/>
      <x:c r="H135" s="538" t="n"/>
      <x:c r="I135" s="524"/>
      <x:c r="J135" s="524"/>
    </x:row>
    <x:row r="136">
      <x:c r="A136" s="538" t="n"/>
      <x:c r="B136" s="524"/>
      <x:c r="C136" s="524"/>
      <x:c r="D136" s="551" t="n"/>
      <x:c r="E136" s="524"/>
      <x:c r="F136" s="524"/>
      <x:c r="G136" s="538"/>
      <x:c r="H136" s="538" t="n"/>
      <x:c r="I136" s="524"/>
      <x:c r="J136" s="524"/>
    </x:row>
    <x:row r="137">
      <x:c r="A137" s="538" t="n"/>
      <x:c r="B137" s="524"/>
      <x:c r="C137" s="524"/>
      <x:c r="D137" s="551" t="n"/>
      <x:c r="E137" s="524"/>
      <x:c r="F137" s="524"/>
      <x:c r="G137" s="538"/>
      <x:c r="H137" s="538" t="n"/>
      <x:c r="I137" s="524"/>
      <x:c r="J137" s="524"/>
    </x:row>
    <x:row r="138">
      <x:c r="A138" s="538" t="n"/>
      <x:c r="B138" s="524"/>
      <x:c r="C138" s="524"/>
      <x:c r="D138" s="551" t="n"/>
      <x:c r="E138" s="524"/>
      <x:c r="F138" s="524"/>
      <x:c r="G138" s="538"/>
      <x:c r="H138" s="538" t="n"/>
      <x:c r="I138" s="524"/>
      <x:c r="J138" s="524"/>
    </x:row>
    <x:row r="139">
      <x:c r="A139" s="538" t="n"/>
      <x:c r="B139" s="524"/>
      <x:c r="C139" s="524"/>
      <x:c r="D139" s="551" t="n"/>
      <x:c r="E139" s="524"/>
      <x:c r="F139" s="524"/>
      <x:c r="G139" s="538"/>
      <x:c r="H139" s="538" t="n"/>
      <x:c r="I139" s="524"/>
      <x:c r="J139" s="524"/>
    </x:row>
    <x:row r="140">
      <x:c r="A140" s="538" t="n"/>
      <x:c r="B140" s="524"/>
      <x:c r="C140" s="524"/>
      <x:c r="D140" s="551" t="n"/>
      <x:c r="E140" s="524"/>
      <x:c r="F140" s="524"/>
      <x:c r="G140" s="538"/>
      <x:c r="H140" s="538" t="n"/>
      <x:c r="I140" s="524"/>
      <x:c r="J140" s="524"/>
    </x:row>
    <x:row r="141">
      <x:c r="A141" s="538" t="n"/>
      <x:c r="B141" s="524"/>
      <x:c r="C141" s="524"/>
      <x:c r="D141" s="551" t="n"/>
      <x:c r="E141" s="524"/>
      <x:c r="F141" s="524"/>
      <x:c r="G141" s="538"/>
      <x:c r="H141" s="538" t="n"/>
      <x:c r="I141" s="524"/>
      <x:c r="J141" s="524"/>
    </x:row>
    <x:row r="142">
      <x:c r="A142" s="538" t="n"/>
      <x:c r="B142" s="524"/>
      <x:c r="C142" s="524"/>
      <x:c r="D142" s="551" t="n"/>
      <x:c r="E142" s="524"/>
      <x:c r="F142" s="524"/>
      <x:c r="G142" s="538"/>
      <x:c r="H142" s="538" t="n"/>
      <x:c r="I142" s="524"/>
      <x:c r="J142" s="524"/>
    </x:row>
    <x:row r="143">
      <x:c r="A143" s="538" t="n"/>
      <x:c r="B143" s="524"/>
      <x:c r="C143" s="524"/>
      <x:c r="D143" s="551" t="n"/>
      <x:c r="E143" s="524"/>
      <x:c r="F143" s="524"/>
      <x:c r="G143" s="538"/>
      <x:c r="H143" s="538" t="n"/>
      <x:c r="I143" s="524"/>
      <x:c r="J143" s="524"/>
    </x:row>
    <x:row r="144">
      <x:c r="A144" s="538" t="n"/>
      <x:c r="B144" s="524"/>
      <x:c r="C144" s="524"/>
      <x:c r="D144" s="551" t="n"/>
      <x:c r="E144" s="524"/>
      <x:c r="F144" s="524"/>
      <x:c r="G144" s="538"/>
      <x:c r="H144" s="538" t="n"/>
      <x:c r="I144" s="524"/>
      <x:c r="J144" s="524"/>
    </x:row>
    <x:row r="145">
      <x:c r="A145" s="538" t="n"/>
      <x:c r="B145" s="524"/>
      <x:c r="C145" s="524"/>
      <x:c r="D145" s="551" t="n"/>
      <x:c r="E145" s="524"/>
      <x:c r="F145" s="524"/>
      <x:c r="G145" s="538"/>
      <x:c r="H145" s="538" t="n"/>
      <x:c r="I145" s="524"/>
      <x:c r="J145" s="524"/>
    </x:row>
    <x:row r="146">
      <x:c r="A146" s="538" t="n"/>
      <x:c r="B146" s="524"/>
      <x:c r="C146" s="524"/>
      <x:c r="D146" s="551" t="n"/>
      <x:c r="E146" s="524"/>
      <x:c r="F146" s="524"/>
      <x:c r="G146" s="538"/>
      <x:c r="H146" s="538" t="n"/>
      <x:c r="I146" s="524"/>
      <x:c r="J146" s="524"/>
    </x:row>
    <x:row r="147">
      <x:c r="A147" s="538" t="n"/>
      <x:c r="B147" s="524"/>
      <x:c r="C147" s="524"/>
      <x:c r="D147" s="551" t="n"/>
      <x:c r="E147" s="524"/>
      <x:c r="F147" s="524"/>
      <x:c r="G147" s="538"/>
      <x:c r="H147" s="538" t="n"/>
      <x:c r="I147" s="524"/>
      <x:c r="J147" s="524"/>
    </x:row>
    <x:row r="148">
      <x:c r="A148" s="538" t="n"/>
      <x:c r="B148" s="524"/>
      <x:c r="C148" s="524"/>
      <x:c r="D148" s="551" t="n"/>
      <x:c r="E148" s="524"/>
      <x:c r="F148" s="524"/>
      <x:c r="G148" s="538"/>
      <x:c r="H148" s="538" t="n"/>
      <x:c r="I148" s="524"/>
      <x:c r="J148" s="524"/>
    </x:row>
    <x:row r="149">
      <x:c r="A149" s="538" t="n"/>
      <x:c r="B149" s="524"/>
      <x:c r="C149" s="524"/>
      <x:c r="D149" s="551" t="n"/>
      <x:c r="E149" s="524"/>
      <x:c r="F149" s="524"/>
      <x:c r="G149" s="538"/>
      <x:c r="H149" s="538" t="n"/>
      <x:c r="I149" s="524"/>
      <x:c r="J149" s="524"/>
    </x:row>
    <x:row r="150">
      <x:c r="A150" s="538" t="n"/>
      <x:c r="B150" s="524"/>
      <x:c r="C150" s="524"/>
      <x:c r="D150" s="551" t="n"/>
      <x:c r="E150" s="524"/>
      <x:c r="F150" s="524"/>
      <x:c r="G150" s="538"/>
      <x:c r="H150" s="538" t="n"/>
      <x:c r="I150" s="524"/>
      <x:c r="J150" s="524"/>
    </x:row>
    <x:row r="151">
      <x:c r="A151" s="538" t="n"/>
      <x:c r="B151" s="524"/>
      <x:c r="C151" s="524"/>
      <x:c r="D151" s="551" t="n"/>
      <x:c r="E151" s="524"/>
      <x:c r="F151" s="524"/>
      <x:c r="G151" s="538"/>
      <x:c r="H151" s="538" t="n"/>
      <x:c r="I151" s="524"/>
      <x:c r="J151" s="524"/>
    </x:row>
    <x:row r="152">
      <x:c r="A152" s="538" t="n"/>
      <x:c r="B152" s="524"/>
      <x:c r="C152" s="524"/>
      <x:c r="D152" s="551" t="n"/>
      <x:c r="E152" s="524"/>
      <x:c r="F152" s="524"/>
      <x:c r="G152" s="538"/>
      <x:c r="H152" s="538" t="n"/>
      <x:c r="I152" s="524"/>
      <x:c r="J152" s="524"/>
    </x:row>
    <x:row r="153">
      <x:c r="A153" s="538" t="n"/>
      <x:c r="B153" s="524"/>
      <x:c r="C153" s="524"/>
      <x:c r="D153" s="551" t="n"/>
      <x:c r="E153" s="524"/>
      <x:c r="F153" s="524"/>
      <x:c r="G153" s="538"/>
      <x:c r="H153" s="538" t="n"/>
      <x:c r="I153" s="524"/>
      <x:c r="J153" s="524"/>
    </x:row>
    <x:row r="154">
      <x:c r="A154" s="538" t="n"/>
      <x:c r="B154" s="524"/>
      <x:c r="C154" s="524"/>
      <x:c r="D154" s="551" t="n"/>
      <x:c r="E154" s="524"/>
      <x:c r="F154" s="524"/>
      <x:c r="G154" s="538"/>
      <x:c r="H154" s="538" t="n"/>
      <x:c r="I154" s="524"/>
      <x:c r="J154" s="524"/>
    </x:row>
    <x:row r="155">
      <x:c r="A155" s="538" t="n"/>
      <x:c r="B155" s="524"/>
      <x:c r="C155" s="524"/>
      <x:c r="D155" s="551" t="n"/>
      <x:c r="E155" s="524"/>
      <x:c r="F155" s="524"/>
      <x:c r="G155" s="538"/>
      <x:c r="H155" s="538" t="n"/>
      <x:c r="I155" s="524"/>
      <x:c r="J155" s="524"/>
    </x:row>
    <x:row r="156">
      <x:c r="A156" s="538" t="n"/>
      <x:c r="B156" s="524"/>
      <x:c r="C156" s="524"/>
      <x:c r="D156" s="551" t="n"/>
      <x:c r="E156" s="524"/>
      <x:c r="F156" s="524"/>
      <x:c r="G156" s="538"/>
      <x:c r="H156" s="538" t="n"/>
      <x:c r="I156" s="524"/>
      <x:c r="J156" s="524"/>
    </x:row>
    <x:row r="157">
      <x:c r="A157" s="538" t="n"/>
      <x:c r="B157" s="524"/>
      <x:c r="C157" s="524"/>
      <x:c r="D157" s="551" t="n"/>
      <x:c r="E157" s="524"/>
      <x:c r="F157" s="524"/>
      <x:c r="G157" s="538"/>
      <x:c r="H157" s="538" t="n"/>
      <x:c r="I157" s="524"/>
      <x:c r="J157" s="524"/>
    </x:row>
    <x:row r="158">
      <x:c r="A158" s="538" t="n"/>
      <x:c r="B158" s="524"/>
      <x:c r="C158" s="524"/>
      <x:c r="D158" s="551" t="n"/>
      <x:c r="E158" s="524"/>
      <x:c r="F158" s="524"/>
      <x:c r="G158" s="538"/>
      <x:c r="H158" s="538" t="n"/>
      <x:c r="I158" s="524"/>
      <x:c r="J158" s="524"/>
    </x:row>
    <x:row r="159">
      <x:c r="A159" s="538" t="n"/>
      <x:c r="B159" s="524"/>
      <x:c r="C159" s="524"/>
      <x:c r="D159" s="551" t="n"/>
      <x:c r="E159" s="524"/>
      <x:c r="F159" s="524"/>
      <x:c r="G159" s="538"/>
      <x:c r="H159" s="538" t="n"/>
      <x:c r="I159" s="524"/>
      <x:c r="J159" s="524"/>
    </x:row>
    <x:row r="160">
      <x:c r="A160" s="538" t="n"/>
      <x:c r="B160" s="524"/>
      <x:c r="C160" s="524"/>
      <x:c r="D160" s="551" t="n"/>
      <x:c r="E160" s="524"/>
      <x:c r="F160" s="524"/>
      <x:c r="G160" s="538"/>
      <x:c r="H160" s="538" t="n"/>
      <x:c r="I160" s="524"/>
      <x:c r="J160" s="524"/>
    </x:row>
    <x:row r="161">
      <x:c r="A161" s="538" t="n"/>
      <x:c r="B161" s="524"/>
      <x:c r="C161" s="524"/>
      <x:c r="D161" s="551" t="n"/>
      <x:c r="E161" s="524"/>
      <x:c r="F161" s="524"/>
      <x:c r="G161" s="538"/>
      <x:c r="H161" s="538" t="n"/>
      <x:c r="I161" s="524"/>
      <x:c r="J161" s="524"/>
    </x:row>
    <x:row r="162">
      <x:c r="A162" s="538" t="n"/>
      <x:c r="B162" s="524"/>
      <x:c r="C162" s="524"/>
      <x:c r="D162" s="551" t="n"/>
      <x:c r="E162" s="524"/>
      <x:c r="F162" s="524"/>
      <x:c r="G162" s="538"/>
      <x:c r="H162" s="538" t="n"/>
      <x:c r="I162" s="524"/>
      <x:c r="J162" s="524"/>
    </x:row>
    <x:row r="163">
      <x:c r="A163" s="538" t="n"/>
      <x:c r="B163" s="524"/>
      <x:c r="C163" s="524"/>
      <x:c r="D163" s="551" t="n"/>
      <x:c r="E163" s="524"/>
      <x:c r="F163" s="524"/>
      <x:c r="G163" s="538"/>
      <x:c r="H163" s="538" t="n"/>
      <x:c r="I163" s="524"/>
      <x:c r="J163" s="524"/>
    </x:row>
    <x:row r="164">
      <x:c r="A164" s="538" t="n"/>
      <x:c r="B164" s="524"/>
      <x:c r="C164" s="524"/>
      <x:c r="D164" s="551" t="n"/>
      <x:c r="E164" s="524"/>
      <x:c r="F164" s="524"/>
      <x:c r="G164" s="538"/>
      <x:c r="H164" s="538" t="n"/>
      <x:c r="I164" s="524"/>
      <x:c r="J164" s="524"/>
    </x:row>
    <x:row r="165">
      <x:c r="A165" s="538" t="n"/>
      <x:c r="B165" s="524"/>
      <x:c r="C165" s="524"/>
      <x:c r="D165" s="551" t="n"/>
      <x:c r="E165" s="524"/>
      <x:c r="F165" s="524"/>
      <x:c r="G165" s="538"/>
      <x:c r="H165" s="538" t="n"/>
      <x:c r="I165" s="524"/>
      <x:c r="J165" s="524"/>
    </x:row>
    <x:row r="166">
      <x:c r="A166" s="538" t="n"/>
      <x:c r="B166" s="524"/>
      <x:c r="C166" s="524"/>
      <x:c r="D166" s="551" t="n"/>
      <x:c r="E166" s="524"/>
      <x:c r="F166" s="524"/>
      <x:c r="G166" s="538"/>
      <x:c r="H166" s="538" t="n"/>
      <x:c r="I166" s="524"/>
      <x:c r="J166" s="524"/>
    </x:row>
    <x:row r="167">
      <x:c r="A167" s="538" t="n"/>
      <x:c r="B167" s="524"/>
      <x:c r="C167" s="524"/>
      <x:c r="D167" s="551" t="n"/>
      <x:c r="E167" s="524"/>
      <x:c r="F167" s="524"/>
      <x:c r="G167" s="538"/>
      <x:c r="H167" s="538" t="n"/>
      <x:c r="I167" s="524"/>
      <x:c r="J167" s="524"/>
    </x:row>
    <x:row r="168">
      <x:c r="A168" s="538" t="n"/>
      <x:c r="B168" s="524"/>
      <x:c r="C168" s="524"/>
      <x:c r="D168" s="551" t="n"/>
      <x:c r="E168" s="524"/>
      <x:c r="F168" s="524"/>
      <x:c r="G168" s="538"/>
      <x:c r="H168" s="538" t="n"/>
      <x:c r="I168" s="524"/>
      <x:c r="J168" s="524"/>
    </x:row>
    <x:row r="169">
      <x:c r="A169" s="538" t="n"/>
      <x:c r="B169" s="524"/>
      <x:c r="C169" s="524"/>
      <x:c r="D169" s="551" t="n"/>
      <x:c r="E169" s="524"/>
      <x:c r="F169" s="524"/>
      <x:c r="G169" s="538"/>
      <x:c r="H169" s="538" t="n"/>
      <x:c r="I169" s="524"/>
      <x:c r="J169" s="524"/>
    </x:row>
    <x:row r="170">
      <x:c r="A170" s="538" t="n"/>
      <x:c r="B170" s="524"/>
      <x:c r="C170" s="524"/>
      <x:c r="D170" s="551" t="n"/>
      <x:c r="E170" s="524"/>
      <x:c r="F170" s="524"/>
      <x:c r="G170" s="538"/>
      <x:c r="H170" s="538" t="n"/>
      <x:c r="I170" s="524"/>
      <x:c r="J170" s="524"/>
    </x:row>
    <x:row r="171">
      <x:c r="A171" s="538" t="n"/>
      <x:c r="B171" s="524"/>
      <x:c r="C171" s="524"/>
      <x:c r="D171" s="551" t="n"/>
      <x:c r="E171" s="524"/>
      <x:c r="F171" s="524"/>
      <x:c r="G171" s="538"/>
      <x:c r="H171" s="538" t="n"/>
      <x:c r="I171" s="524"/>
      <x:c r="J171" s="524"/>
    </x:row>
    <x:row r="172">
      <x:c r="A172" s="538" t="n"/>
      <x:c r="B172" s="524"/>
      <x:c r="C172" s="524"/>
      <x:c r="D172" s="551" t="n"/>
      <x:c r="E172" s="524"/>
      <x:c r="F172" s="524"/>
      <x:c r="G172" s="538"/>
      <x:c r="H172" s="538" t="n"/>
      <x:c r="I172" s="524"/>
      <x:c r="J172" s="524"/>
    </x:row>
    <x:row r="173">
      <x:c r="A173" s="538" t="n"/>
      <x:c r="B173" s="524"/>
      <x:c r="C173" s="524"/>
      <x:c r="D173" s="551" t="n"/>
      <x:c r="E173" s="524"/>
      <x:c r="F173" s="524"/>
      <x:c r="G173" s="538"/>
      <x:c r="H173" s="538" t="n"/>
      <x:c r="I173" s="524"/>
      <x:c r="J173" s="524"/>
    </x:row>
    <x:row r="174">
      <x:c r="A174" s="538" t="n"/>
      <x:c r="B174" s="524"/>
      <x:c r="C174" s="524"/>
      <x:c r="D174" s="551" t="n"/>
      <x:c r="E174" s="524"/>
      <x:c r="F174" s="524"/>
      <x:c r="G174" s="538"/>
      <x:c r="H174" s="538" t="n"/>
      <x:c r="I174" s="524"/>
      <x:c r="J174" s="524"/>
    </x:row>
    <x:row r="175">
      <x:c r="A175" s="538" t="n"/>
      <x:c r="B175" s="524"/>
      <x:c r="C175" s="524"/>
      <x:c r="D175" s="551" t="n"/>
      <x:c r="E175" s="524"/>
      <x:c r="F175" s="524"/>
      <x:c r="G175" s="538"/>
      <x:c r="H175" s="538" t="n"/>
      <x:c r="I175" s="524"/>
      <x:c r="J175" s="524"/>
    </x:row>
    <x:row r="176">
      <x:c r="A176" s="538" t="n"/>
      <x:c r="B176" s="524"/>
      <x:c r="C176" s="524"/>
      <x:c r="D176" s="551" t="n"/>
      <x:c r="E176" s="524"/>
      <x:c r="F176" s="524"/>
      <x:c r="G176" s="538"/>
      <x:c r="H176" s="538" t="n"/>
      <x:c r="I176" s="524"/>
      <x:c r="J176" s="524"/>
    </x:row>
    <x:row r="177">
      <x:c r="A177" s="538" t="n"/>
      <x:c r="B177" s="524"/>
      <x:c r="C177" s="524"/>
      <x:c r="D177" s="551" t="n"/>
      <x:c r="E177" s="524"/>
      <x:c r="F177" s="524"/>
      <x:c r="G177" s="538"/>
      <x:c r="H177" s="538" t="n"/>
      <x:c r="I177" s="524"/>
      <x:c r="J177" s="524"/>
    </x:row>
    <x:row r="178">
      <x:c r="A178" s="538" t="n"/>
      <x:c r="B178" s="524"/>
      <x:c r="C178" s="524"/>
      <x:c r="D178" s="551" t="n"/>
      <x:c r="E178" s="524"/>
      <x:c r="F178" s="524"/>
      <x:c r="G178" s="538"/>
      <x:c r="H178" s="538" t="n"/>
      <x:c r="I178" s="524"/>
      <x:c r="J178" s="524"/>
    </x:row>
    <x:row r="179">
      <x:c r="A179" s="538" t="n"/>
      <x:c r="B179" s="524"/>
      <x:c r="C179" s="524"/>
      <x:c r="D179" s="551" t="n"/>
      <x:c r="E179" s="524"/>
      <x:c r="F179" s="524"/>
      <x:c r="G179" s="538"/>
      <x:c r="H179" s="538" t="n"/>
      <x:c r="I179" s="524"/>
      <x:c r="J179" s="524"/>
    </x:row>
    <x:row r="180">
      <x:c r="A180" s="538" t="n"/>
      <x:c r="B180" s="524"/>
      <x:c r="C180" s="524"/>
      <x:c r="D180" s="551" t="n"/>
      <x:c r="E180" s="524"/>
      <x:c r="F180" s="524"/>
      <x:c r="G180" s="538"/>
      <x:c r="H180" s="538" t="n"/>
      <x:c r="I180" s="524"/>
      <x:c r="J180" s="524"/>
    </x:row>
    <x:row r="181">
      <x:c r="A181" s="538" t="n"/>
      <x:c r="B181" s="524"/>
      <x:c r="C181" s="524"/>
      <x:c r="D181" s="551" t="n"/>
      <x:c r="E181" s="524"/>
      <x:c r="F181" s="524"/>
      <x:c r="G181" s="538"/>
      <x:c r="H181" s="538" t="n"/>
      <x:c r="I181" s="524"/>
      <x:c r="J181" s="524"/>
    </x:row>
    <x:row r="182">
      <x:c r="A182" s="538" t="n"/>
      <x:c r="B182" s="524"/>
      <x:c r="C182" s="524"/>
      <x:c r="D182" s="551" t="n"/>
      <x:c r="E182" s="524"/>
      <x:c r="F182" s="524"/>
      <x:c r="G182" s="538"/>
      <x:c r="H182" s="538" t="n"/>
      <x:c r="I182" s="524"/>
      <x:c r="J182" s="524"/>
    </x:row>
    <x:row r="183">
      <x:c r="A183" s="538" t="n"/>
      <x:c r="B183" s="524"/>
      <x:c r="C183" s="524"/>
      <x:c r="D183" s="551" t="n"/>
      <x:c r="E183" s="524"/>
      <x:c r="F183" s="524"/>
      <x:c r="G183" s="538"/>
      <x:c r="H183" s="538" t="n"/>
      <x:c r="I183" s="524"/>
      <x:c r="J183" s="524"/>
    </x:row>
    <x:row r="184">
      <x:c r="A184" s="538" t="n"/>
      <x:c r="B184" s="524"/>
      <x:c r="C184" s="524"/>
      <x:c r="D184" s="551" t="n"/>
      <x:c r="E184" s="524"/>
      <x:c r="F184" s="524"/>
      <x:c r="G184" s="538"/>
      <x:c r="H184" s="538" t="n"/>
      <x:c r="I184" s="524"/>
      <x:c r="J184" s="524"/>
    </x:row>
    <x:row r="185">
      <x:c r="A185" s="538" t="n"/>
      <x:c r="B185" s="524"/>
      <x:c r="C185" s="524"/>
      <x:c r="D185" s="551" t="n"/>
      <x:c r="E185" s="524"/>
      <x:c r="F185" s="524"/>
      <x:c r="G185" s="538"/>
      <x:c r="H185" s="538" t="n"/>
      <x:c r="I185" s="524"/>
      <x:c r="J185" s="524"/>
    </x:row>
    <x:row r="186">
      <x:c r="A186" s="538" t="n"/>
      <x:c r="B186" s="524"/>
      <x:c r="C186" s="524"/>
      <x:c r="D186" s="551" t="n"/>
      <x:c r="E186" s="524"/>
      <x:c r="F186" s="524"/>
      <x:c r="G186" s="538"/>
      <x:c r="H186" s="538" t="n"/>
      <x:c r="I186" s="524"/>
      <x:c r="J186" s="524"/>
    </x:row>
    <x:row r="187">
      <x:c r="A187" s="538" t="n"/>
      <x:c r="B187" s="524"/>
      <x:c r="C187" s="524"/>
      <x:c r="D187" s="551" t="n"/>
      <x:c r="E187" s="524"/>
      <x:c r="F187" s="524"/>
      <x:c r="G187" s="538"/>
      <x:c r="H187" s="538" t="n"/>
      <x:c r="I187" s="524"/>
      <x:c r="J187" s="524"/>
    </x:row>
    <x:row r="188">
      <x:c r="A188" s="538" t="n"/>
      <x:c r="B188" s="524"/>
      <x:c r="C188" s="524"/>
      <x:c r="D188" s="551" t="n"/>
      <x:c r="E188" s="524"/>
      <x:c r="F188" s="524"/>
      <x:c r="G188" s="538"/>
      <x:c r="H188" s="538" t="n"/>
      <x:c r="I188" s="524"/>
      <x:c r="J188" s="524"/>
    </x:row>
    <x:row r="189">
      <x:c r="A189" s="538" t="n"/>
      <x:c r="B189" s="524"/>
      <x:c r="C189" s="524"/>
      <x:c r="D189" s="551" t="n"/>
      <x:c r="E189" s="524"/>
      <x:c r="F189" s="524"/>
      <x:c r="G189" s="538"/>
      <x:c r="H189" s="538" t="n"/>
      <x:c r="I189" s="524"/>
      <x:c r="J189" s="524"/>
    </x:row>
    <x:row r="190">
      <x:c r="A190" s="538" t="n"/>
      <x:c r="B190" s="524"/>
      <x:c r="C190" s="524"/>
      <x:c r="D190" s="551" t="n"/>
      <x:c r="E190" s="524"/>
      <x:c r="F190" s="524"/>
      <x:c r="G190" s="538"/>
      <x:c r="H190" s="538" t="n"/>
      <x:c r="I190" s="524"/>
      <x:c r="J190" s="524"/>
    </x:row>
    <x:row r="191">
      <x:c r="A191" s="538" t="n"/>
      <x:c r="B191" s="524"/>
      <x:c r="C191" s="524"/>
      <x:c r="D191" s="551" t="n"/>
      <x:c r="E191" s="524"/>
      <x:c r="F191" s="524"/>
      <x:c r="G191" s="538"/>
      <x:c r="H191" s="538" t="n"/>
      <x:c r="I191" s="524"/>
      <x:c r="J191" s="524"/>
    </x:row>
    <x:row r="192">
      <x:c r="A192" s="538" t="n"/>
      <x:c r="B192" s="524"/>
      <x:c r="C192" s="524"/>
      <x:c r="D192" s="551" t="n"/>
      <x:c r="E192" s="524"/>
      <x:c r="F192" s="524"/>
      <x:c r="G192" s="538"/>
      <x:c r="H192" s="538" t="n"/>
      <x:c r="I192" s="524"/>
      <x:c r="J192" s="524"/>
    </x:row>
    <x:row r="193">
      <x:c r="A193" s="538" t="n"/>
      <x:c r="B193" s="524"/>
      <x:c r="C193" s="524"/>
      <x:c r="D193" s="551" t="n"/>
      <x:c r="E193" s="524"/>
      <x:c r="F193" s="524"/>
      <x:c r="G193" s="538"/>
      <x:c r="H193" s="538" t="n"/>
      <x:c r="I193" s="524"/>
      <x:c r="J193" s="524"/>
    </x:row>
    <x:row r="194">
      <x:c r="A194" s="538" t="n"/>
      <x:c r="B194" s="524"/>
      <x:c r="C194" s="524"/>
      <x:c r="D194" s="551" t="n"/>
      <x:c r="E194" s="524"/>
      <x:c r="F194" s="524"/>
      <x:c r="G194" s="538"/>
      <x:c r="H194" s="538" t="n"/>
      <x:c r="I194" s="524"/>
      <x:c r="J194" s="524"/>
    </x:row>
    <x:row r="195">
      <x:c r="A195" s="538" t="n"/>
      <x:c r="B195" s="524"/>
      <x:c r="C195" s="524"/>
      <x:c r="D195" s="551" t="n"/>
      <x:c r="E195" s="524"/>
      <x:c r="F195" s="524"/>
      <x:c r="G195" s="538"/>
      <x:c r="H195" s="538" t="n"/>
      <x:c r="I195" s="524"/>
      <x:c r="J195" s="524"/>
    </x:row>
    <x:row r="196">
      <x:c r="A196" s="538" t="n"/>
      <x:c r="B196" s="524"/>
      <x:c r="C196" s="524"/>
      <x:c r="D196" s="551" t="n"/>
      <x:c r="E196" s="524"/>
      <x:c r="F196" s="524"/>
      <x:c r="G196" s="538"/>
      <x:c r="H196" s="538" t="n"/>
      <x:c r="I196" s="524"/>
      <x:c r="J196" s="524"/>
    </x:row>
    <x:row r="197">
      <x:c r="A197" s="538" t="n"/>
      <x:c r="B197" s="524"/>
      <x:c r="C197" s="524"/>
      <x:c r="D197" s="551" t="n"/>
      <x:c r="E197" s="524"/>
      <x:c r="F197" s="524"/>
      <x:c r="G197" s="538"/>
      <x:c r="H197" s="538" t="n"/>
      <x:c r="I197" s="524"/>
      <x:c r="J197" s="524"/>
    </x:row>
    <x:row r="198">
      <x:c r="A198" s="538" t="n"/>
      <x:c r="B198" s="524"/>
      <x:c r="C198" s="524"/>
      <x:c r="D198" s="551" t="n"/>
      <x:c r="E198" s="524"/>
      <x:c r="F198" s="524"/>
      <x:c r="G198" s="538"/>
      <x:c r="H198" s="538" t="n"/>
      <x:c r="I198" s="524"/>
      <x:c r="J198" s="524"/>
    </x:row>
    <x:row r="199">
      <x:c r="A199" s="538" t="n"/>
      <x:c r="B199" s="524"/>
      <x:c r="C199" s="524"/>
      <x:c r="D199" s="551" t="n"/>
      <x:c r="E199" s="524"/>
      <x:c r="F199" s="524"/>
      <x:c r="G199" s="538"/>
      <x:c r="H199" s="538" t="n"/>
      <x:c r="I199" s="524"/>
      <x:c r="J199" s="524"/>
    </x:row>
    <x:row r="200">
      <x:c r="A200" s="538" t="n"/>
      <x:c r="B200" s="524"/>
      <x:c r="C200" s="524"/>
      <x:c r="D200" s="551" t="n"/>
      <x:c r="E200" s="524"/>
      <x:c r="F200" s="524"/>
      <x:c r="G200" s="538"/>
      <x:c r="H200" s="538" t="n"/>
      <x:c r="I200" s="524"/>
      <x:c r="J200" s="524"/>
    </x:row>
    <x:row r="201">
      <x:c r="A201" s="538" t="n"/>
      <x:c r="B201" s="524"/>
      <x:c r="C201" s="524"/>
      <x:c r="D201" s="551" t="n"/>
      <x:c r="E201" s="524"/>
      <x:c r="F201" s="524"/>
      <x:c r="G201" s="538"/>
      <x:c r="H201" s="538" t="n"/>
      <x:c r="I201" s="524"/>
      <x:c r="J201" s="524"/>
    </x:row>
    <x:row r="202">
      <x:c r="A202" s="538" t="n"/>
      <x:c r="B202" s="524"/>
      <x:c r="C202" s="524"/>
      <x:c r="D202" s="551" t="n"/>
      <x:c r="E202" s="524"/>
      <x:c r="F202" s="524"/>
      <x:c r="G202" s="538"/>
      <x:c r="H202" s="538" t="n"/>
      <x:c r="I202" s="524"/>
      <x:c r="J202" s="524"/>
    </x:row>
    <x:row r="203">
      <x:c r="A203" s="538" t="n"/>
      <x:c r="B203" s="524"/>
      <x:c r="C203" s="524"/>
      <x:c r="D203" s="551" t="n"/>
      <x:c r="E203" s="524"/>
      <x:c r="F203" s="524"/>
      <x:c r="G203" s="538"/>
      <x:c r="H203" s="538" t="n"/>
      <x:c r="I203" s="524"/>
      <x:c r="J203" s="524"/>
    </x:row>
    <x:row r="204">
      <x:c r="A204" s="538" t="n"/>
      <x:c r="B204" s="524"/>
      <x:c r="C204" s="524"/>
      <x:c r="D204" s="551" t="n"/>
      <x:c r="E204" s="524"/>
      <x:c r="F204" s="524"/>
      <x:c r="G204" s="538"/>
      <x:c r="H204" s="538" t="n"/>
      <x:c r="I204" s="524"/>
      <x:c r="J204" s="524"/>
    </x:row>
    <x:row r="205">
      <x:c r="A205" s="538" t="n"/>
      <x:c r="B205" s="524"/>
      <x:c r="C205" s="524"/>
      <x:c r="D205" s="551" t="n"/>
      <x:c r="E205" s="524"/>
      <x:c r="F205" s="524"/>
      <x:c r="G205" s="538"/>
      <x:c r="H205" s="538" t="n"/>
      <x:c r="I205" s="524"/>
      <x:c r="J205" s="524"/>
    </x:row>
    <x:row r="206">
      <x:c r="A206" s="538" t="n"/>
      <x:c r="B206" s="524"/>
      <x:c r="C206" s="524"/>
      <x:c r="D206" s="551" t="n"/>
      <x:c r="E206" s="524"/>
      <x:c r="F206" s="524"/>
      <x:c r="G206" s="538"/>
      <x:c r="H206" s="538" t="n"/>
      <x:c r="I206" s="524"/>
      <x:c r="J206" s="524"/>
    </x:row>
    <x:row r="207">
      <x:c r="A207" s="538" t="n"/>
      <x:c r="B207" s="524"/>
      <x:c r="C207" s="524"/>
      <x:c r="D207" s="551" t="n"/>
      <x:c r="E207" s="524"/>
      <x:c r="F207" s="524"/>
      <x:c r="G207" s="538"/>
      <x:c r="H207" s="538" t="n"/>
      <x:c r="I207" s="524"/>
      <x:c r="J207" s="524"/>
    </x:row>
    <x:row r="208">
      <x:c r="A208" s="538" t="n"/>
      <x:c r="B208" s="524"/>
      <x:c r="C208" s="524"/>
      <x:c r="D208" s="551" t="n"/>
      <x:c r="E208" s="524"/>
      <x:c r="F208" s="524"/>
      <x:c r="G208" s="538"/>
      <x:c r="H208" s="538" t="n"/>
      <x:c r="I208" s="524"/>
      <x:c r="J208" s="524"/>
    </x:row>
    <x:row r="209">
      <x:c r="A209" s="538" t="n"/>
      <x:c r="B209" s="524"/>
      <x:c r="C209" s="524"/>
      <x:c r="D209" s="551" t="n"/>
      <x:c r="E209" s="524"/>
      <x:c r="F209" s="524"/>
      <x:c r="G209" s="538"/>
      <x:c r="H209" s="538" t="n"/>
      <x:c r="I209" s="524"/>
      <x:c r="J209" s="524"/>
    </x:row>
    <x:row r="210">
      <x:c r="A210" s="538" t="n"/>
      <x:c r="B210" s="524"/>
      <x:c r="C210" s="524"/>
      <x:c r="D210" s="551" t="n"/>
      <x:c r="E210" s="524"/>
      <x:c r="F210" s="524"/>
      <x:c r="G210" s="538"/>
      <x:c r="H210" s="538" t="n"/>
      <x:c r="I210" s="524"/>
      <x:c r="J210" s="524"/>
    </x:row>
    <x:row r="211">
      <x:c r="A211" s="538" t="n"/>
      <x:c r="B211" s="524"/>
      <x:c r="C211" s="524"/>
      <x:c r="D211" s="551" t="n"/>
      <x:c r="E211" s="524"/>
      <x:c r="F211" s="524"/>
      <x:c r="G211" s="538"/>
      <x:c r="H211" s="538" t="n"/>
      <x:c r="I211" s="524"/>
      <x:c r="J211" s="524"/>
    </x:row>
    <x:row r="212">
      <x:c r="A212" s="538" t="n"/>
      <x:c r="B212" s="524"/>
      <x:c r="C212" s="524"/>
      <x:c r="D212" s="551" t="n"/>
      <x:c r="E212" s="524"/>
      <x:c r="F212" s="524"/>
      <x:c r="G212" s="538"/>
      <x:c r="H212" s="538" t="n"/>
      <x:c r="I212" s="524"/>
      <x:c r="J212" s="524"/>
    </x:row>
    <x:row r="213">
      <x:c r="A213" s="538" t="n"/>
      <x:c r="B213" s="524"/>
      <x:c r="C213" s="524"/>
      <x:c r="D213" s="551" t="n"/>
      <x:c r="E213" s="524"/>
      <x:c r="F213" s="524"/>
      <x:c r="G213" s="538"/>
      <x:c r="H213" s="538" t="n"/>
      <x:c r="I213" s="524"/>
      <x:c r="J213" s="524"/>
    </x:row>
    <x:row r="214">
      <x:c r="A214" s="538" t="n"/>
      <x:c r="B214" s="524"/>
      <x:c r="C214" s="524"/>
      <x:c r="D214" s="551" t="n"/>
      <x:c r="E214" s="524"/>
      <x:c r="F214" s="524"/>
      <x:c r="G214" s="538"/>
      <x:c r="H214" s="538" t="n"/>
      <x:c r="I214" s="524"/>
      <x:c r="J214" s="524"/>
    </x:row>
    <x:row r="215">
      <x:c r="A215" s="538" t="n"/>
      <x:c r="B215" s="524"/>
      <x:c r="C215" s="524"/>
      <x:c r="D215" s="551" t="n"/>
      <x:c r="E215" s="524"/>
      <x:c r="F215" s="524"/>
      <x:c r="G215" s="538"/>
      <x:c r="H215" s="538" t="n"/>
      <x:c r="I215" s="524"/>
      <x:c r="J215" s="524"/>
    </x:row>
    <x:row r="216">
      <x:c r="A216" s="538" t="n"/>
      <x:c r="B216" s="524"/>
      <x:c r="C216" s="524"/>
      <x:c r="D216" s="551" t="n"/>
      <x:c r="E216" s="524"/>
      <x:c r="F216" s="524"/>
      <x:c r="G216" s="538"/>
      <x:c r="H216" s="538" t="n"/>
      <x:c r="I216" s="524"/>
      <x:c r="J216" s="524"/>
    </x:row>
    <x:row r="217">
      <x:c r="A217" s="538" t="n"/>
      <x:c r="B217" s="524"/>
      <x:c r="C217" s="524"/>
      <x:c r="D217" s="551" t="n"/>
      <x:c r="E217" s="524"/>
      <x:c r="F217" s="524"/>
      <x:c r="G217" s="538"/>
      <x:c r="H217" s="538" t="n"/>
      <x:c r="I217" s="524"/>
      <x:c r="J217" s="524"/>
    </x:row>
    <x:row r="218">
      <x:c r="A218" s="538" t="n"/>
      <x:c r="B218" s="524"/>
      <x:c r="C218" s="524"/>
      <x:c r="D218" s="551" t="n"/>
      <x:c r="E218" s="524"/>
      <x:c r="F218" s="524"/>
      <x:c r="G218" s="538"/>
      <x:c r="H218" s="538" t="n"/>
      <x:c r="I218" s="524"/>
      <x:c r="J218" s="524"/>
    </x:row>
    <x:row r="219">
      <x:c r="A219" s="538" t="n"/>
      <x:c r="B219" s="524"/>
      <x:c r="C219" s="524"/>
      <x:c r="D219" s="551" t="n"/>
      <x:c r="E219" s="524"/>
      <x:c r="F219" s="524"/>
      <x:c r="G219" s="538"/>
      <x:c r="H219" s="538" t="n"/>
      <x:c r="I219" s="524"/>
      <x:c r="J219" s="524"/>
    </x:row>
    <x:row r="220">
      <x:c r="A220" s="538" t="n"/>
      <x:c r="B220" s="524"/>
      <x:c r="C220" s="524"/>
      <x:c r="D220" s="551" t="n"/>
      <x:c r="E220" s="524"/>
      <x:c r="F220" s="524"/>
      <x:c r="G220" s="538"/>
      <x:c r="H220" s="538" t="n"/>
      <x:c r="I220" s="524"/>
      <x:c r="J220" s="524"/>
    </x:row>
    <x:row r="221">
      <x:c r="A221" s="538" t="n"/>
      <x:c r="B221" s="524"/>
      <x:c r="C221" s="524"/>
      <x:c r="D221" s="551" t="n"/>
      <x:c r="E221" s="524"/>
      <x:c r="F221" s="524"/>
      <x:c r="G221" s="538"/>
      <x:c r="H221" s="538" t="n"/>
      <x:c r="I221" s="524"/>
      <x:c r="J221" s="524"/>
    </x:row>
    <x:row r="222">
      <x:c r="A222" s="538" t="n"/>
      <x:c r="B222" s="524"/>
      <x:c r="C222" s="524"/>
      <x:c r="D222" s="551" t="n"/>
      <x:c r="E222" s="524"/>
      <x:c r="F222" s="524"/>
      <x:c r="G222" s="538"/>
      <x:c r="H222" s="538" t="n"/>
      <x:c r="I222" s="524"/>
      <x:c r="J222" s="524"/>
    </x:row>
    <x:row r="223">
      <x:c r="A223" s="538" t="n"/>
      <x:c r="B223" s="524"/>
      <x:c r="C223" s="524"/>
      <x:c r="D223" s="551" t="n"/>
      <x:c r="E223" s="524"/>
      <x:c r="F223" s="524"/>
      <x:c r="G223" s="538"/>
      <x:c r="H223" s="538" t="n"/>
      <x:c r="I223" s="524"/>
      <x:c r="J223" s="524"/>
    </x:row>
    <x:row r="224">
      <x:c r="A224" s="538" t="n"/>
      <x:c r="B224" s="524"/>
      <x:c r="C224" s="524"/>
      <x:c r="D224" s="551" t="n"/>
      <x:c r="E224" s="524"/>
      <x:c r="F224" s="524"/>
      <x:c r="G224" s="538"/>
      <x:c r="H224" s="538" t="n"/>
      <x:c r="I224" s="524"/>
      <x:c r="J224" s="524"/>
    </x:row>
    <x:row r="225">
      <x:c r="A225" s="538" t="n"/>
      <x:c r="B225" s="524"/>
      <x:c r="C225" s="524"/>
      <x:c r="D225" s="551" t="n"/>
      <x:c r="E225" s="524"/>
      <x:c r="F225" s="524"/>
      <x:c r="G225" s="538"/>
      <x:c r="H225" s="538" t="n"/>
      <x:c r="I225" s="524"/>
      <x:c r="J225" s="524"/>
    </x:row>
    <x:row r="226">
      <x:c r="A226" s="538" t="n"/>
      <x:c r="B226" s="524"/>
      <x:c r="C226" s="524"/>
      <x:c r="D226" s="551" t="n"/>
      <x:c r="E226" s="524"/>
      <x:c r="F226" s="524"/>
      <x:c r="G226" s="538"/>
      <x:c r="H226" s="538" t="n"/>
      <x:c r="I226" s="524"/>
      <x:c r="J226" s="524"/>
    </x:row>
    <x:row r="227">
      <x:c r="A227" s="538" t="n"/>
      <x:c r="B227" s="524"/>
      <x:c r="C227" s="524"/>
      <x:c r="D227" s="551" t="n"/>
      <x:c r="E227" s="524"/>
      <x:c r="F227" s="524"/>
      <x:c r="G227" s="538"/>
      <x:c r="H227" s="538" t="n"/>
      <x:c r="I227" s="524"/>
      <x:c r="J227" s="524"/>
    </x:row>
    <x:row r="228">
      <x:c r="A228" s="538" t="n"/>
      <x:c r="B228" s="524"/>
      <x:c r="C228" s="524"/>
      <x:c r="D228" s="551" t="n"/>
      <x:c r="E228" s="524"/>
      <x:c r="F228" s="524"/>
      <x:c r="G228" s="538"/>
      <x:c r="H228" s="538" t="n"/>
      <x:c r="I228" s="524"/>
      <x:c r="J228" s="524"/>
    </x:row>
    <x:row r="229">
      <x:c r="A229" s="538" t="n"/>
      <x:c r="B229" s="524"/>
      <x:c r="C229" s="524"/>
      <x:c r="D229" s="551" t="n"/>
      <x:c r="E229" s="524"/>
      <x:c r="F229" s="524"/>
      <x:c r="G229" s="538"/>
      <x:c r="H229" s="538" t="n"/>
      <x:c r="I229" s="524"/>
      <x:c r="J229" s="524"/>
    </x:row>
    <x:row r="230">
      <x:c r="A230" s="538" t="n"/>
      <x:c r="B230" s="524"/>
      <x:c r="C230" s="524"/>
      <x:c r="D230" s="551" t="n"/>
      <x:c r="E230" s="524"/>
      <x:c r="F230" s="524"/>
      <x:c r="G230" s="538"/>
      <x:c r="H230" s="538" t="n"/>
      <x:c r="I230" s="524"/>
      <x:c r="J230" s="524"/>
    </x:row>
    <x:row r="231">
      <x:c r="A231" s="538" t="n"/>
      <x:c r="B231" s="524"/>
      <x:c r="C231" s="524"/>
      <x:c r="D231" s="551" t="n"/>
      <x:c r="E231" s="524"/>
      <x:c r="F231" s="524"/>
      <x:c r="G231" s="538"/>
      <x:c r="H231" s="538" t="n"/>
      <x:c r="I231" s="524"/>
      <x:c r="J231" s="524"/>
    </x:row>
    <x:row r="232">
      <x:c r="A232" s="538" t="n"/>
      <x:c r="B232" s="524"/>
      <x:c r="C232" s="524"/>
      <x:c r="D232" s="551" t="n"/>
      <x:c r="E232" s="524"/>
      <x:c r="F232" s="524"/>
      <x:c r="G232" s="538"/>
      <x:c r="H232" s="538" t="n"/>
      <x:c r="I232" s="524"/>
      <x:c r="J232" s="524"/>
    </x:row>
    <x:row r="233">
      <x:c r="A233" s="538" t="n"/>
      <x:c r="B233" s="524"/>
      <x:c r="C233" s="524"/>
      <x:c r="D233" s="551" t="n"/>
      <x:c r="E233" s="524"/>
      <x:c r="F233" s="524"/>
      <x:c r="G233" s="538"/>
      <x:c r="H233" s="538" t="n"/>
      <x:c r="I233" s="524"/>
      <x:c r="J233" s="524"/>
    </x:row>
    <x:row r="234">
      <x:c r="A234" s="538" t="n"/>
      <x:c r="B234" s="524"/>
      <x:c r="C234" s="524"/>
      <x:c r="D234" s="551" t="n"/>
      <x:c r="E234" s="524"/>
      <x:c r="F234" s="524"/>
      <x:c r="G234" s="538"/>
      <x:c r="H234" s="538" t="n"/>
      <x:c r="I234" s="524"/>
      <x:c r="J234" s="524"/>
    </x:row>
    <x:row r="235">
      <x:c r="A235" s="538" t="n"/>
      <x:c r="B235" s="524"/>
      <x:c r="C235" s="524"/>
      <x:c r="D235" s="551" t="n"/>
      <x:c r="E235" s="524"/>
      <x:c r="F235" s="524"/>
      <x:c r="G235" s="538"/>
      <x:c r="H235" s="538" t="n"/>
      <x:c r="I235" s="524"/>
      <x:c r="J235" s="524"/>
    </x:row>
    <x:row r="236">
      <x:c r="A236" s="538" t="n"/>
      <x:c r="B236" s="524"/>
      <x:c r="C236" s="524"/>
      <x:c r="D236" s="551" t="n"/>
      <x:c r="E236" s="524"/>
      <x:c r="F236" s="524"/>
      <x:c r="G236" s="538"/>
      <x:c r="H236" s="538" t="n"/>
      <x:c r="I236" s="524"/>
      <x:c r="J236" s="524"/>
    </x:row>
    <x:row r="237">
      <x:c r="A237" s="538" t="n"/>
      <x:c r="B237" s="524"/>
      <x:c r="C237" s="524"/>
      <x:c r="D237" s="551" t="n"/>
      <x:c r="E237" s="524"/>
      <x:c r="F237" s="524"/>
      <x:c r="G237" s="538"/>
      <x:c r="H237" s="538" t="n"/>
      <x:c r="I237" s="524"/>
      <x:c r="J237" s="524"/>
    </x:row>
    <x:row r="238">
      <x:c r="A238" s="538" t="n"/>
      <x:c r="B238" s="524"/>
      <x:c r="C238" s="524"/>
      <x:c r="D238" s="551" t="n"/>
      <x:c r="E238" s="524"/>
      <x:c r="F238" s="524"/>
      <x:c r="G238" s="538"/>
      <x:c r="H238" s="538" t="n"/>
      <x:c r="I238" s="524"/>
      <x:c r="J238" s="524"/>
    </x:row>
    <x:row r="239">
      <x:c r="A239" s="538" t="n"/>
      <x:c r="B239" s="524"/>
      <x:c r="C239" s="524"/>
      <x:c r="D239" s="551" t="n"/>
      <x:c r="E239" s="524"/>
      <x:c r="F239" s="524"/>
      <x:c r="G239" s="538"/>
      <x:c r="H239" s="538" t="n"/>
      <x:c r="I239" s="524"/>
      <x:c r="J239" s="524"/>
    </x:row>
    <x:row r="240">
      <x:c r="A240" s="538" t="n"/>
      <x:c r="B240" s="524"/>
      <x:c r="C240" s="524"/>
      <x:c r="D240" s="551" t="n"/>
      <x:c r="E240" s="524"/>
      <x:c r="F240" s="524"/>
      <x:c r="G240" s="538"/>
      <x:c r="H240" s="538" t="n"/>
      <x:c r="I240" s="524"/>
      <x:c r="J240" s="524"/>
    </x:row>
    <x:row r="241">
      <x:c r="A241" s="538" t="n"/>
      <x:c r="B241" s="524"/>
      <x:c r="C241" s="524"/>
      <x:c r="D241" s="551" t="n"/>
      <x:c r="E241" s="524"/>
      <x:c r="F241" s="524"/>
      <x:c r="G241" s="538"/>
      <x:c r="H241" s="538" t="n"/>
      <x:c r="I241" s="524"/>
      <x:c r="J241" s="524"/>
    </x:row>
    <x:row r="242">
      <x:c r="A242" s="538" t="n"/>
      <x:c r="B242" s="524"/>
      <x:c r="C242" s="524"/>
      <x:c r="D242" s="551" t="n"/>
      <x:c r="E242" s="524"/>
      <x:c r="F242" s="524"/>
      <x:c r="G242" s="538"/>
      <x:c r="H242" s="538" t="n"/>
      <x:c r="I242" s="524"/>
      <x:c r="J242" s="524"/>
    </x:row>
    <x:row r="243">
      <x:c r="A243" s="538" t="n"/>
      <x:c r="B243" s="524"/>
      <x:c r="C243" s="524"/>
      <x:c r="D243" s="551" t="n"/>
      <x:c r="E243" s="524"/>
      <x:c r="F243" s="524"/>
      <x:c r="G243" s="538"/>
      <x:c r="H243" s="538" t="n"/>
      <x:c r="I243" s="524"/>
      <x:c r="J243" s="524"/>
    </x:row>
    <x:row r="244">
      <x:c r="A244" s="538" t="n"/>
      <x:c r="B244" s="524"/>
      <x:c r="C244" s="524"/>
      <x:c r="D244" s="551" t="n"/>
      <x:c r="E244" s="524"/>
      <x:c r="F244" s="524"/>
      <x:c r="G244" s="538"/>
      <x:c r="H244" s="538" t="n"/>
      <x:c r="I244" s="524"/>
      <x:c r="J244" s="524"/>
    </x:row>
    <x:row r="245">
      <x:c r="A245" s="538" t="n"/>
      <x:c r="B245" s="524"/>
      <x:c r="C245" s="524"/>
      <x:c r="D245" s="551" t="n"/>
      <x:c r="E245" s="524"/>
      <x:c r="F245" s="524"/>
      <x:c r="G245" s="538"/>
      <x:c r="H245" s="538" t="n"/>
      <x:c r="I245" s="524"/>
      <x:c r="J245" s="524"/>
    </x:row>
    <x:row r="246">
      <x:c r="A246" s="538" t="n"/>
      <x:c r="B246" s="524"/>
      <x:c r="C246" s="524"/>
      <x:c r="D246" s="551" t="n"/>
      <x:c r="E246" s="524"/>
      <x:c r="F246" s="524"/>
      <x:c r="G246" s="538"/>
      <x:c r="H246" s="538" t="n"/>
      <x:c r="I246" s="524"/>
      <x:c r="J246" s="524"/>
    </x:row>
    <x:row r="247">
      <x:c r="A247" s="538" t="n"/>
      <x:c r="B247" s="524"/>
      <x:c r="C247" s="524"/>
      <x:c r="D247" s="551" t="n"/>
      <x:c r="E247" s="524"/>
      <x:c r="F247" s="524"/>
      <x:c r="G247" s="538"/>
      <x:c r="H247" s="538" t="n"/>
      <x:c r="I247" s="524"/>
      <x:c r="J247" s="524"/>
    </x:row>
    <x:row r="248">
      <x:c r="A248" s="538" t="n"/>
      <x:c r="B248" s="524"/>
      <x:c r="C248" s="524"/>
      <x:c r="D248" s="551" t="n"/>
      <x:c r="E248" s="524"/>
      <x:c r="F248" s="524"/>
      <x:c r="G248" s="538"/>
      <x:c r="H248" s="538" t="n"/>
      <x:c r="I248" s="524"/>
      <x:c r="J248" s="524"/>
    </x:row>
    <x:row r="249">
      <x:c r="A249" s="538" t="n"/>
      <x:c r="B249" s="524"/>
      <x:c r="C249" s="524"/>
      <x:c r="D249" s="551" t="n"/>
      <x:c r="E249" s="524"/>
      <x:c r="F249" s="524"/>
      <x:c r="G249" s="538"/>
      <x:c r="H249" s="538" t="n"/>
      <x:c r="I249" s="524"/>
      <x:c r="J249" s="524"/>
    </x:row>
    <x:row r="250">
      <x:c r="A250" s="538" t="n"/>
      <x:c r="B250" s="524"/>
      <x:c r="C250" s="524"/>
      <x:c r="D250" s="551" t="n"/>
      <x:c r="E250" s="524"/>
      <x:c r="F250" s="524"/>
      <x:c r="G250" s="538"/>
      <x:c r="H250" s="538" t="n"/>
      <x:c r="I250" s="524"/>
      <x:c r="J250" s="524"/>
    </x:row>
    <x:row r="251">
      <x:c r="A251" s="538" t="n"/>
      <x:c r="B251" s="524"/>
      <x:c r="C251" s="524"/>
      <x:c r="D251" s="551" t="n"/>
      <x:c r="E251" s="524"/>
      <x:c r="F251" s="524"/>
      <x:c r="G251" s="538"/>
      <x:c r="H251" s="538" t="n"/>
      <x:c r="I251" s="524"/>
      <x:c r="J251" s="524"/>
    </x:row>
    <x:row r="252">
      <x:c r="A252" s="538" t="n"/>
      <x:c r="B252" s="524"/>
      <x:c r="C252" s="524"/>
      <x:c r="D252" s="551" t="n"/>
      <x:c r="E252" s="524"/>
      <x:c r="F252" s="524"/>
      <x:c r="G252" s="538"/>
      <x:c r="H252" s="538" t="n"/>
      <x:c r="I252" s="524"/>
      <x:c r="J252" s="524"/>
    </x:row>
    <x:row r="253">
      <x:c r="A253" s="538" t="n"/>
      <x:c r="B253" s="524"/>
      <x:c r="C253" s="524"/>
      <x:c r="D253" s="551" t="n"/>
      <x:c r="E253" s="524"/>
      <x:c r="F253" s="524"/>
      <x:c r="G253" s="538"/>
      <x:c r="H253" s="538" t="n"/>
      <x:c r="I253" s="524"/>
      <x:c r="J253" s="524"/>
    </x:row>
    <x:row r="254">
      <x:c r="A254" s="538" t="n"/>
      <x:c r="B254" s="524"/>
      <x:c r="C254" s="524"/>
      <x:c r="D254" s="551" t="n"/>
      <x:c r="E254" s="524"/>
      <x:c r="F254" s="524"/>
      <x:c r="G254" s="538"/>
      <x:c r="H254" s="538" t="n"/>
      <x:c r="I254" s="524"/>
      <x:c r="J254" s="524"/>
    </x:row>
    <x:row r="255">
      <x:c r="A255" s="538" t="n"/>
      <x:c r="B255" s="524"/>
      <x:c r="C255" s="524"/>
      <x:c r="D255" s="551" t="n"/>
      <x:c r="E255" s="524"/>
      <x:c r="F255" s="524"/>
      <x:c r="G255" s="538"/>
      <x:c r="H255" s="538" t="n"/>
      <x:c r="I255" s="524"/>
      <x:c r="J255" s="524"/>
    </x:row>
    <x:row r="256">
      <x:c r="A256" s="538" t="n"/>
      <x:c r="B256" s="524"/>
      <x:c r="C256" s="524"/>
      <x:c r="D256" s="551" t="n"/>
      <x:c r="E256" s="524"/>
      <x:c r="F256" s="524"/>
      <x:c r="G256" s="538"/>
      <x:c r="H256" s="538" t="n"/>
      <x:c r="I256" s="524"/>
      <x:c r="J256" s="524"/>
    </x:row>
    <x:row r="257">
      <x:c r="A257" s="538" t="n"/>
      <x:c r="B257" s="524"/>
      <x:c r="C257" s="524"/>
      <x:c r="D257" s="551" t="n"/>
      <x:c r="E257" s="524"/>
      <x:c r="F257" s="524"/>
      <x:c r="G257" s="538"/>
      <x:c r="H257" s="538" t="n"/>
      <x:c r="I257" s="524"/>
      <x:c r="J257" s="524"/>
    </x:row>
    <x:row r="258">
      <x:c r="A258" s="538" t="n"/>
      <x:c r="B258" s="524"/>
      <x:c r="C258" s="524"/>
      <x:c r="D258" s="551" t="n"/>
      <x:c r="E258" s="524"/>
      <x:c r="F258" s="524"/>
      <x:c r="G258" s="538"/>
      <x:c r="H258" s="538" t="n"/>
      <x:c r="I258" s="524"/>
      <x:c r="J258" s="524"/>
    </x:row>
    <x:row r="259">
      <x:c r="A259" s="538" t="n"/>
      <x:c r="B259" s="524"/>
      <x:c r="C259" s="524"/>
      <x:c r="D259" s="551" t="n"/>
      <x:c r="E259" s="524"/>
      <x:c r="F259" s="524"/>
      <x:c r="G259" s="538"/>
      <x:c r="H259" s="538" t="n"/>
      <x:c r="I259" s="524"/>
      <x:c r="J259" s="524"/>
    </x:row>
    <x:row r="260">
      <x:c r="A260" s="538" t="n"/>
      <x:c r="B260" s="524"/>
      <x:c r="C260" s="524"/>
      <x:c r="D260" s="551" t="n"/>
      <x:c r="E260" s="524"/>
      <x:c r="F260" s="524"/>
      <x:c r="G260" s="538"/>
      <x:c r="H260" s="538" t="n"/>
      <x:c r="I260" s="524"/>
      <x:c r="J260" s="524"/>
    </x:row>
    <x:row r="261">
      <x:c r="A261" s="538" t="n"/>
      <x:c r="B261" s="524"/>
      <x:c r="C261" s="524"/>
      <x:c r="D261" s="551" t="n"/>
      <x:c r="E261" s="524"/>
      <x:c r="F261" s="524"/>
      <x:c r="G261" s="538"/>
      <x:c r="H261" s="538" t="n"/>
      <x:c r="I261" s="524"/>
      <x:c r="J261" s="524"/>
    </x:row>
    <x:row r="262">
      <x:c r="A262" s="538" t="n"/>
      <x:c r="B262" s="524"/>
      <x:c r="C262" s="524"/>
      <x:c r="D262" s="551" t="n"/>
      <x:c r="E262" s="524"/>
      <x:c r="F262" s="524"/>
      <x:c r="G262" s="538"/>
      <x:c r="H262" s="538" t="n"/>
      <x:c r="I262" s="524"/>
      <x:c r="J262" s="524"/>
    </x:row>
    <x:row r="263">
      <x:c r="A263" s="538" t="n"/>
      <x:c r="B263" s="524"/>
      <x:c r="C263" s="524"/>
      <x:c r="D263" s="551" t="n"/>
      <x:c r="E263" s="524"/>
      <x:c r="F263" s="524"/>
      <x:c r="G263" s="538"/>
      <x:c r="H263" s="538" t="n"/>
      <x:c r="I263" s="524"/>
      <x:c r="J263" s="524"/>
    </x:row>
    <x:row r="264">
      <x:c r="A264" s="538" t="n"/>
      <x:c r="B264" s="524"/>
      <x:c r="C264" s="524"/>
      <x:c r="D264" s="551" t="n"/>
      <x:c r="E264" s="524"/>
      <x:c r="F264" s="524"/>
      <x:c r="G264" s="538"/>
      <x:c r="H264" s="538" t="n"/>
      <x:c r="I264" s="524"/>
      <x:c r="J264" s="524"/>
    </x:row>
    <x:row r="265">
      <x:c r="A265" s="538" t="n"/>
      <x:c r="B265" s="524"/>
      <x:c r="C265" s="524"/>
      <x:c r="D265" s="551" t="n"/>
      <x:c r="E265" s="524"/>
      <x:c r="F265" s="524"/>
      <x:c r="G265" s="538"/>
      <x:c r="H265" s="538" t="n"/>
      <x:c r="I265" s="524"/>
      <x:c r="J265" s="524"/>
    </x:row>
    <x:row r="266">
      <x:c r="A266" s="538" t="n"/>
      <x:c r="B266" s="524"/>
      <x:c r="C266" s="524"/>
      <x:c r="D266" s="551" t="n"/>
      <x:c r="E266" s="524"/>
      <x:c r="F266" s="524"/>
      <x:c r="G266" s="538"/>
      <x:c r="H266" s="538" t="n"/>
      <x:c r="I266" s="524"/>
      <x:c r="J266" s="524"/>
    </x:row>
    <x:row r="267">
      <x:c r="A267" s="538" t="n"/>
      <x:c r="B267" s="524"/>
      <x:c r="C267" s="524"/>
      <x:c r="D267" s="551" t="n"/>
      <x:c r="E267" s="524"/>
      <x:c r="F267" s="524"/>
      <x:c r="G267" s="538"/>
      <x:c r="H267" s="538" t="n"/>
      <x:c r="I267" s="524"/>
      <x:c r="J267" s="524"/>
    </x:row>
    <x:row r="268">
      <x:c r="A268" s="538" t="n"/>
      <x:c r="B268" s="524"/>
      <x:c r="C268" s="524"/>
      <x:c r="D268" s="551" t="n"/>
      <x:c r="E268" s="524"/>
      <x:c r="F268" s="524"/>
      <x:c r="G268" s="538"/>
      <x:c r="H268" s="538" t="n"/>
      <x:c r="I268" s="524"/>
      <x:c r="J268" s="524"/>
    </x:row>
    <x:row r="269">
      <x:c r="A269" s="538" t="n"/>
      <x:c r="B269" s="524"/>
      <x:c r="C269" s="524"/>
      <x:c r="D269" s="551" t="n"/>
      <x:c r="E269" s="524"/>
      <x:c r="F269" s="524"/>
      <x:c r="G269" s="538"/>
      <x:c r="H269" s="538" t="n"/>
      <x:c r="I269" s="524"/>
      <x:c r="J269" s="524"/>
    </x:row>
    <x:row r="270">
      <x:c r="A270" s="538" t="n"/>
      <x:c r="B270" s="524"/>
      <x:c r="C270" s="524"/>
      <x:c r="D270" s="551" t="n"/>
      <x:c r="E270" s="524"/>
      <x:c r="F270" s="524"/>
      <x:c r="G270" s="538"/>
      <x:c r="H270" s="538" t="n"/>
      <x:c r="I270" s="524"/>
      <x:c r="J270" s="524"/>
    </x:row>
    <x:row r="271">
      <x:c r="A271" s="538" t="n"/>
      <x:c r="B271" s="524"/>
      <x:c r="C271" s="524"/>
      <x:c r="D271" s="551" t="n"/>
      <x:c r="E271" s="524"/>
      <x:c r="F271" s="524"/>
      <x:c r="G271" s="538"/>
      <x:c r="H271" s="538" t="n"/>
      <x:c r="I271" s="524"/>
      <x:c r="J271" s="524"/>
    </x:row>
    <x:row r="272">
      <x:c r="A272" s="538" t="n"/>
      <x:c r="B272" s="524"/>
      <x:c r="C272" s="524"/>
      <x:c r="D272" s="551" t="n"/>
      <x:c r="E272" s="524"/>
      <x:c r="F272" s="524"/>
      <x:c r="G272" s="538"/>
      <x:c r="H272" s="538" t="n"/>
      <x:c r="I272" s="524"/>
      <x:c r="J272" s="524"/>
    </x:row>
    <x:row r="273">
      <x:c r="A273" s="538" t="n"/>
      <x:c r="B273" s="524"/>
      <x:c r="C273" s="524"/>
      <x:c r="D273" s="551" t="n"/>
      <x:c r="E273" s="524"/>
      <x:c r="F273" s="524"/>
      <x:c r="G273" s="538"/>
      <x:c r="H273" s="538" t="n"/>
      <x:c r="I273" s="524"/>
      <x:c r="J273" s="524"/>
    </x:row>
    <x:row r="274">
      <x:c r="A274" s="538" t="n"/>
      <x:c r="B274" s="524"/>
      <x:c r="C274" s="524"/>
      <x:c r="D274" s="551" t="n"/>
      <x:c r="E274" s="524"/>
      <x:c r="F274" s="524"/>
      <x:c r="G274" s="538"/>
      <x:c r="H274" s="538" t="n"/>
      <x:c r="I274" s="524"/>
      <x:c r="J274" s="524"/>
    </x:row>
    <x:row r="275">
      <x:c r="A275" s="538" t="n"/>
      <x:c r="B275" s="524"/>
      <x:c r="C275" s="524"/>
      <x:c r="D275" s="551" t="n"/>
      <x:c r="E275" s="524"/>
      <x:c r="F275" s="524"/>
      <x:c r="G275" s="538"/>
      <x:c r="H275" s="538" t="n"/>
      <x:c r="I275" s="524"/>
      <x:c r="J275" s="524"/>
    </x:row>
    <x:row r="276">
      <x:c r="A276" s="538" t="n"/>
      <x:c r="B276" s="524"/>
      <x:c r="C276" s="524"/>
      <x:c r="D276" s="551" t="n"/>
      <x:c r="E276" s="524"/>
      <x:c r="F276" s="524"/>
      <x:c r="G276" s="538"/>
      <x:c r="H276" s="538" t="n"/>
      <x:c r="I276" s="524"/>
      <x:c r="J276" s="524"/>
    </x:row>
    <x:row r="277">
      <x:c r="A277" s="538" t="n"/>
      <x:c r="B277" s="524"/>
      <x:c r="C277" s="524"/>
      <x:c r="D277" s="551" t="n"/>
      <x:c r="E277" s="524"/>
      <x:c r="F277" s="524"/>
      <x:c r="G277" s="538"/>
      <x:c r="H277" s="538" t="n"/>
      <x:c r="I277" s="524"/>
      <x:c r="J277" s="524"/>
    </x:row>
    <x:row r="278">
      <x:c r="A278" s="538" t="n"/>
      <x:c r="B278" s="524"/>
      <x:c r="C278" s="524"/>
      <x:c r="D278" s="551" t="n"/>
      <x:c r="E278" s="524"/>
      <x:c r="F278" s="524"/>
      <x:c r="G278" s="538"/>
      <x:c r="H278" s="538" t="n"/>
      <x:c r="I278" s="524"/>
      <x:c r="J278" s="524"/>
    </x:row>
    <x:row r="279">
      <x:c r="A279" s="538" t="n"/>
      <x:c r="B279" s="524"/>
      <x:c r="C279" s="524"/>
      <x:c r="D279" s="551" t="n"/>
      <x:c r="E279" s="524"/>
      <x:c r="F279" s="524"/>
      <x:c r="G279" s="538"/>
      <x:c r="H279" s="538" t="n"/>
      <x:c r="I279" s="524"/>
      <x:c r="J279" s="524"/>
    </x:row>
    <x:row r="280">
      <x:c r="A280" s="538" t="n"/>
      <x:c r="B280" s="524"/>
      <x:c r="C280" s="524"/>
      <x:c r="D280" s="551" t="n"/>
      <x:c r="E280" s="524"/>
      <x:c r="F280" s="524"/>
      <x:c r="G280" s="538"/>
      <x:c r="H280" s="538" t="n"/>
      <x:c r="I280" s="524"/>
      <x:c r="J280" s="524"/>
    </x:row>
    <x:row r="281">
      <x:c r="A281" s="538" t="n"/>
      <x:c r="B281" s="524"/>
      <x:c r="C281" s="524"/>
      <x:c r="D281" s="551" t="n"/>
      <x:c r="E281" s="524"/>
      <x:c r="F281" s="524"/>
      <x:c r="G281" s="538"/>
      <x:c r="H281" s="538" t="n"/>
      <x:c r="I281" s="524"/>
      <x:c r="J281" s="524"/>
    </x:row>
    <x:row r="282">
      <x:c r="A282" s="538" t="n"/>
      <x:c r="B282" s="524"/>
      <x:c r="C282" s="524"/>
      <x:c r="D282" s="551" t="n"/>
      <x:c r="E282" s="524"/>
      <x:c r="F282" s="524"/>
      <x:c r="G282" s="538"/>
      <x:c r="H282" s="538" t="n"/>
      <x:c r="I282" s="524"/>
      <x:c r="J282" s="524"/>
    </x:row>
    <x:row r="283">
      <x:c r="A283" s="538" t="n"/>
      <x:c r="B283" s="524"/>
      <x:c r="C283" s="524"/>
      <x:c r="D283" s="551" t="n"/>
      <x:c r="E283" s="524"/>
      <x:c r="F283" s="524"/>
      <x:c r="G283" s="538"/>
      <x:c r="H283" s="538" t="n"/>
      <x:c r="I283" s="524"/>
      <x:c r="J283" s="524"/>
    </x:row>
    <x:row r="284">
      <x:c r="A284" s="538" t="n"/>
      <x:c r="B284" s="524"/>
      <x:c r="C284" s="524"/>
      <x:c r="D284" s="551" t="n"/>
      <x:c r="E284" s="524"/>
      <x:c r="F284" s="524"/>
      <x:c r="G284" s="538"/>
      <x:c r="H284" s="538" t="n"/>
      <x:c r="I284" s="524"/>
      <x:c r="J284" s="524"/>
    </x:row>
    <x:row r="285">
      <x:c r="A285" s="538" t="n"/>
      <x:c r="B285" s="524"/>
      <x:c r="C285" s="524"/>
      <x:c r="D285" s="551" t="n"/>
      <x:c r="E285" s="524"/>
      <x:c r="F285" s="524"/>
      <x:c r="G285" s="538"/>
      <x:c r="H285" s="538" t="n"/>
      <x:c r="I285" s="524"/>
      <x:c r="J285" s="524"/>
    </x:row>
    <x:row r="286">
      <x:c r="A286" s="538" t="n"/>
      <x:c r="B286" s="524"/>
      <x:c r="C286" s="524"/>
      <x:c r="D286" s="551" t="n"/>
      <x:c r="E286" s="524"/>
      <x:c r="F286" s="524"/>
      <x:c r="G286" s="538"/>
      <x:c r="H286" s="538" t="n"/>
      <x:c r="I286" s="524"/>
      <x:c r="J286" s="524"/>
    </x:row>
    <x:row r="287">
      <x:c r="A287" s="538" t="n"/>
      <x:c r="B287" s="524"/>
      <x:c r="C287" s="524"/>
      <x:c r="D287" s="551" t="n"/>
      <x:c r="E287" s="524"/>
      <x:c r="F287" s="524"/>
      <x:c r="G287" s="538"/>
      <x:c r="H287" s="538" t="n"/>
      <x:c r="I287" s="524"/>
      <x:c r="J287" s="524"/>
    </x:row>
    <x:row r="288">
      <x:c r="A288" s="538" t="n"/>
      <x:c r="B288" s="524"/>
      <x:c r="C288" s="524"/>
      <x:c r="D288" s="551" t="n"/>
      <x:c r="E288" s="524"/>
      <x:c r="F288" s="524"/>
      <x:c r="G288" s="538"/>
      <x:c r="H288" s="538" t="n"/>
      <x:c r="I288" s="524"/>
      <x:c r="J288" s="524"/>
    </x:row>
    <x:row r="289">
      <x:c r="A289" s="538" t="n"/>
      <x:c r="B289" s="524"/>
      <x:c r="C289" s="524"/>
      <x:c r="D289" s="551" t="n"/>
      <x:c r="E289" s="524"/>
      <x:c r="F289" s="524"/>
      <x:c r="G289" s="538"/>
      <x:c r="H289" s="538" t="n"/>
      <x:c r="I289" s="524"/>
      <x:c r="J289" s="524"/>
    </x:row>
    <x:row r="290">
      <x:c r="A290" s="538" t="n"/>
      <x:c r="B290" s="524"/>
      <x:c r="C290" s="524"/>
      <x:c r="D290" s="551" t="n"/>
      <x:c r="E290" s="524"/>
      <x:c r="F290" s="524"/>
      <x:c r="G290" s="538"/>
      <x:c r="H290" s="538" t="n"/>
      <x:c r="I290" s="524"/>
      <x:c r="J290" s="524"/>
    </x:row>
    <x:row r="291">
      <x:c r="A291" s="538" t="n"/>
      <x:c r="B291" s="524"/>
      <x:c r="C291" s="524"/>
      <x:c r="D291" s="551" t="n"/>
      <x:c r="E291" s="524"/>
      <x:c r="F291" s="524"/>
      <x:c r="G291" s="538"/>
      <x:c r="H291" s="538" t="n"/>
      <x:c r="I291" s="524"/>
      <x:c r="J291" s="524"/>
    </x:row>
    <x:row r="292">
      <x:c r="A292" s="538" t="n"/>
      <x:c r="B292" s="524"/>
      <x:c r="C292" s="524"/>
      <x:c r="D292" s="551" t="n"/>
      <x:c r="E292" s="524"/>
      <x:c r="F292" s="524"/>
      <x:c r="G292" s="538"/>
      <x:c r="H292" s="538" t="n"/>
      <x:c r="I292" s="524"/>
      <x:c r="J292" s="524"/>
    </x:row>
    <x:row r="293">
      <x:c r="A293" s="538" t="n"/>
      <x:c r="B293" s="524"/>
      <x:c r="C293" s="524"/>
      <x:c r="D293" s="551" t="n"/>
      <x:c r="E293" s="524"/>
      <x:c r="F293" s="524"/>
      <x:c r="G293" s="538"/>
      <x:c r="H293" s="538" t="n"/>
      <x:c r="I293" s="524"/>
      <x:c r="J293" s="524"/>
    </x:row>
    <x:row r="294">
      <x:c r="A294" s="538" t="n"/>
      <x:c r="B294" s="524"/>
      <x:c r="C294" s="524"/>
      <x:c r="D294" s="551" t="n"/>
      <x:c r="E294" s="524"/>
      <x:c r="F294" s="524"/>
      <x:c r="G294" s="538"/>
      <x:c r="H294" s="538" t="n"/>
      <x:c r="I294" s="524"/>
      <x:c r="J294" s="524"/>
    </x:row>
    <x:row r="295">
      <x:c r="A295" s="538" t="n"/>
      <x:c r="B295" s="524"/>
      <x:c r="C295" s="524"/>
      <x:c r="D295" s="551" t="n"/>
      <x:c r="E295" s="524"/>
      <x:c r="F295" s="524"/>
      <x:c r="G295" s="538"/>
      <x:c r="H295" s="538" t="n"/>
      <x:c r="I295" s="524"/>
      <x:c r="J295" s="524"/>
    </x:row>
    <x:row r="296">
      <x:c r="A296" s="538" t="n"/>
      <x:c r="B296" s="524"/>
      <x:c r="C296" s="524"/>
      <x:c r="D296" s="551" t="n"/>
      <x:c r="E296" s="524"/>
      <x:c r="F296" s="524"/>
      <x:c r="G296" s="538"/>
      <x:c r="H296" s="538" t="n"/>
      <x:c r="I296" s="524"/>
      <x:c r="J296" s="524"/>
    </x:row>
    <x:row r="297">
      <x:c r="A297" s="538" t="n"/>
      <x:c r="B297" s="524"/>
      <x:c r="C297" s="524"/>
      <x:c r="D297" s="551" t="n"/>
      <x:c r="E297" s="524"/>
      <x:c r="F297" s="524"/>
      <x:c r="G297" s="538"/>
      <x:c r="H297" s="538" t="n"/>
      <x:c r="I297" s="524"/>
      <x:c r="J297" s="524"/>
    </x:row>
    <x:row r="298">
      <x:c r="A298" s="538" t="n"/>
      <x:c r="B298" s="524"/>
      <x:c r="C298" s="524"/>
      <x:c r="D298" s="551" t="n"/>
      <x:c r="E298" s="524"/>
      <x:c r="F298" s="524"/>
      <x:c r="G298" s="538"/>
      <x:c r="H298" s="538" t="n"/>
      <x:c r="I298" s="524"/>
      <x:c r="J298" s="524"/>
    </x:row>
    <x:row r="299">
      <x:c r="A299" s="538" t="n"/>
      <x:c r="B299" s="524"/>
      <x:c r="C299" s="524"/>
      <x:c r="D299" s="551" t="n"/>
      <x:c r="E299" s="524"/>
      <x:c r="F299" s="524"/>
      <x:c r="G299" s="538"/>
      <x:c r="H299" s="538" t="n"/>
      <x:c r="I299" s="524"/>
      <x:c r="J299" s="524"/>
    </x:row>
    <x:row r="300">
      <x:c r="A300" s="538" t="n"/>
      <x:c r="B300" s="524"/>
      <x:c r="C300" s="524"/>
      <x:c r="D300" s="551" t="n"/>
      <x:c r="E300" s="524"/>
      <x:c r="F300" s="524"/>
      <x:c r="G300" s="538"/>
      <x:c r="H300" s="538" t="n"/>
      <x:c r="I300" s="524"/>
      <x:c r="J300" s="524"/>
    </x:row>
    <x:row r="301">
      <x:c r="A301" s="538" t="n"/>
      <x:c r="B301" s="524"/>
      <x:c r="C301" s="524"/>
      <x:c r="D301" s="551" t="n"/>
      <x:c r="E301" s="524"/>
      <x:c r="F301" s="524"/>
      <x:c r="G301" s="538"/>
      <x:c r="H301" s="538" t="n"/>
      <x:c r="I301" s="524"/>
      <x:c r="J301" s="524"/>
    </x:row>
    <x:row r="302">
      <x:c r="A302" s="538" t="n"/>
      <x:c r="B302" s="524"/>
      <x:c r="C302" s="524"/>
      <x:c r="D302" s="551" t="n"/>
      <x:c r="E302" s="524"/>
      <x:c r="F302" s="524"/>
      <x:c r="G302" s="538"/>
      <x:c r="H302" s="538" t="n"/>
      <x:c r="I302" s="524"/>
      <x:c r="J302" s="524"/>
    </x:row>
    <x:row r="303">
      <x:c r="A303" s="538" t="n"/>
      <x:c r="B303" s="524"/>
      <x:c r="C303" s="524"/>
      <x:c r="D303" s="551" t="n"/>
      <x:c r="E303" s="524"/>
      <x:c r="F303" s="524"/>
      <x:c r="G303" s="538"/>
      <x:c r="H303" s="538" t="n"/>
      <x:c r="I303" s="524"/>
      <x:c r="J303" s="524"/>
    </x:row>
  </x:sheetData>
  <x:mergeCells>
    <x:mergeCell ref="A1:J1"/>
  </x:mergeCells>
  <x:dataValidations count="2">
    <x:dataValidation type="list" allowBlank="0" showDropDown="0" showInputMessage="0" showErrorMessage="0" sqref="B4:B303">
      <x:formula1>"TikTok Shop,Shopee,Lazada,Facebook,Zalo,Website,Khác"</x:formula1>
    </x:dataValidation>
    <x:dataValidation type="list" allowBlank="0" showDropDown="0" showInputMessage="0" showErrorMessage="0" sqref="I4:I303">
      <x:formula1>"Đã về ngân hàng,Đang xử lý,Thất bại,Đối soát"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30d06b51c84de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7.880000114440918" style="14" customWidth="1"/>
    <x:col min="2" max="2" width="13.5" style="14" customWidth="1"/>
    <x:col min="3" max="3" width="14" style="14" customWidth="1"/>
    <x:col min="4" max="4" width="45" style="14" customWidth="1"/>
    <x:col min="5" max="5" width="15.25" style="14" customWidth="1"/>
    <x:col min="6" max="6" width="18.5" style="14" customWidth="1"/>
    <x:col min="7" max="7" width="40" style="14" customWidth="1"/>
    <x:col min="8" max="8" width="40" style="14" customWidth="1"/>
    <x:col min="9" max="9" width="40" style="14" customWidth="1"/>
    <x:col min="10" max="10" width="13.130000114440918" style="14" customWidth="1"/>
    <x:col min="11" max="11" width="10.630000114440918" style="14" customWidth="1"/>
    <x:col min="12" max="12" width="30" style="14" customWidth="1"/>
  </x:cols>
  <x:sheetData>
    <x:row r="1" s="14" customFormat="1" ht="28" customHeight="1">
      <x:c r="A1" s="548" t="inlineStr">
        <x:is>
          <x:t xml:space="preserve">KHO THÔNG TIN SẢN PHẨM &amp; TÀI SẢN MEDIA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  <x:c r="L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  <x:c r="K2" s="524"/>
      <x:c r="L2" s="524"/>
    </x:row>
    <x:row r="3" s="14" customFormat="1" ht="32" customHeight="1">
      <x:c r="A3" s="547" t="inlineStr">
        <x:is>
          <x:t xml:space="preserve">Mã SP</x:t>
        </x:is>
      </x:c>
      <x:c r="B3" s="547" t="inlineStr">
        <x:is>
          <x:t xml:space="preserve">Tên sản phẩm</x:t>
        </x:is>
      </x:c>
      <x:c r="C3" s="547" t="inlineStr">
        <x:is>
          <x:t xml:space="preserve">Loại sản phẩm</x:t>
        </x:is>
      </x:c>
      <x:c r="D3" s="547" t="inlineStr">
        <x:is>
          <x:t xml:space="preserve">Mô tả sản phẩm</x:t>
        </x:is>
      </x:c>
      <x:c r="E3" s="547" t="inlineStr">
        <x:is>
          <x:t xml:space="preserve">Giá niêm yết (đ)</x:t>
        </x:is>
      </x:c>
      <x:c r="F3" s="547" t="inlineStr">
        <x:is>
          <x:t xml:space="preserve">COST tham chiếu (đ)</x:t>
        </x:is>
      </x:c>
      <x:c r="G3" s="547" t="inlineStr">
        <x:is>
          <x:t xml:space="preserve">Link hình ảnh Drive/khác</x:t>
        </x:is>
      </x:c>
      <x:c r="H3" s="547" t="inlineStr">
        <x:is>
          <x:t xml:space="preserve">Link video Drive/khác</x:t>
        </x:is>
      </x:c>
      <x:c r="I3" s="547" t="inlineStr">
        <x:is>
          <x:t xml:space="preserve">Link thư mục tài sản</x:t>
        </x:is>
      </x:c>
      <x:c r="J3" s="547" t="inlineStr">
        <x:is>
          <x:t xml:space="preserve">SKU/Barcode</x:t>
        </x:is>
      </x:c>
      <x:c r="K3" s="547" t="inlineStr">
        <x:is>
          <x:t xml:space="preserve">Trạng thái</x:t>
        </x:is>
      </x:c>
      <x:c r="L3" s="547" t="inlineStr">
        <x:is>
          <x:t xml:space="preserve">Ghi chú</x:t>
        </x:is>
      </x:c>
    </x:row>
    <x:row r="4">
      <x:c r="A4" s="524"/>
      <x:c r="B4" s="524"/>
      <x:c r="C4" s="524"/>
      <x:c r="D4" s="524"/>
      <x:c r="E4" s="551" t="n"/>
      <x:c r="F4" s="551" t="n"/>
      <x:c r="G4" s="524"/>
      <x:c r="H4" s="524"/>
      <x:c r="I4" s="524"/>
      <x:c r="J4" s="524"/>
      <x:c r="K4" s="524"/>
      <x:c r="L4" s="524"/>
    </x:row>
    <x:row r="5">
      <x:c r="A5" s="524"/>
      <x:c r="B5" s="524"/>
      <x:c r="C5" s="524"/>
      <x:c r="D5" s="524"/>
      <x:c r="E5" s="551" t="n"/>
      <x:c r="F5" s="551" t="n"/>
      <x:c r="G5" s="524"/>
      <x:c r="H5" s="524"/>
      <x:c r="I5" s="524"/>
      <x:c r="J5" s="524"/>
      <x:c r="K5" s="524"/>
      <x:c r="L5" s="524"/>
    </x:row>
    <x:row r="6">
      <x:c r="A6" s="524"/>
      <x:c r="B6" s="524"/>
      <x:c r="C6" s="524"/>
      <x:c r="D6" s="524"/>
      <x:c r="E6" s="551" t="n"/>
      <x:c r="F6" s="551" t="n"/>
      <x:c r="G6" s="524"/>
      <x:c r="H6" s="524"/>
      <x:c r="I6" s="524"/>
      <x:c r="J6" s="524"/>
      <x:c r="K6" s="524"/>
      <x:c r="L6" s="524"/>
    </x:row>
    <x:row r="7">
      <x:c r="A7" s="524"/>
      <x:c r="B7" s="524"/>
      <x:c r="C7" s="524"/>
      <x:c r="D7" s="524"/>
      <x:c r="E7" s="551" t="n"/>
      <x:c r="F7" s="551" t="n"/>
      <x:c r="G7" s="524"/>
      <x:c r="H7" s="524"/>
      <x:c r="I7" s="524"/>
      <x:c r="J7" s="524"/>
      <x:c r="K7" s="524"/>
      <x:c r="L7" s="524"/>
    </x:row>
    <x:row r="8">
      <x:c r="A8" s="524"/>
      <x:c r="B8" s="524"/>
      <x:c r="C8" s="524"/>
      <x:c r="D8" s="524"/>
      <x:c r="E8" s="551" t="n"/>
      <x:c r="F8" s="551" t="n"/>
      <x:c r="G8" s="524"/>
      <x:c r="H8" s="524"/>
      <x:c r="I8" s="524"/>
      <x:c r="J8" s="524"/>
      <x:c r="K8" s="524"/>
      <x:c r="L8" s="524"/>
    </x:row>
    <x:row r="9">
      <x:c r="A9" s="524"/>
      <x:c r="B9" s="524"/>
      <x:c r="C9" s="524"/>
      <x:c r="D9" s="524"/>
      <x:c r="E9" s="551" t="n"/>
      <x:c r="F9" s="551" t="n"/>
      <x:c r="G9" s="524"/>
      <x:c r="H9" s="524"/>
      <x:c r="I9" s="524"/>
      <x:c r="J9" s="524"/>
      <x:c r="K9" s="524"/>
      <x:c r="L9" s="524"/>
    </x:row>
    <x:row r="10">
      <x:c r="A10" s="524"/>
      <x:c r="B10" s="524"/>
      <x:c r="C10" s="524"/>
      <x:c r="D10" s="524"/>
      <x:c r="E10" s="551" t="n"/>
      <x:c r="F10" s="551" t="n"/>
      <x:c r="G10" s="524"/>
      <x:c r="H10" s="524"/>
      <x:c r="I10" s="524"/>
      <x:c r="J10" s="524"/>
      <x:c r="K10" s="524"/>
      <x:c r="L10" s="524"/>
    </x:row>
    <x:row r="11">
      <x:c r="A11" s="524"/>
      <x:c r="B11" s="524"/>
      <x:c r="C11" s="524"/>
      <x:c r="D11" s="524"/>
      <x:c r="E11" s="551" t="n"/>
      <x:c r="F11" s="551" t="n"/>
      <x:c r="G11" s="524"/>
      <x:c r="H11" s="524"/>
      <x:c r="I11" s="524"/>
      <x:c r="J11" s="524"/>
      <x:c r="K11" s="524"/>
      <x:c r="L11" s="524"/>
    </x:row>
    <x:row r="12">
      <x:c r="A12" s="524"/>
      <x:c r="B12" s="524"/>
      <x:c r="C12" s="524"/>
      <x:c r="D12" s="524"/>
      <x:c r="E12" s="551" t="n"/>
      <x:c r="F12" s="551" t="n"/>
      <x:c r="G12" s="524"/>
      <x:c r="H12" s="524"/>
      <x:c r="I12" s="524"/>
      <x:c r="J12" s="524"/>
      <x:c r="K12" s="524"/>
      <x:c r="L12" s="524"/>
    </x:row>
    <x:row r="13">
      <x:c r="A13" s="524"/>
      <x:c r="B13" s="524"/>
      <x:c r="C13" s="524"/>
      <x:c r="D13" s="524"/>
      <x:c r="E13" s="551" t="n"/>
      <x:c r="F13" s="551" t="n"/>
      <x:c r="G13" s="524"/>
      <x:c r="H13" s="524"/>
      <x:c r="I13" s="524"/>
      <x:c r="J13" s="524"/>
      <x:c r="K13" s="524"/>
      <x:c r="L13" s="524"/>
    </x:row>
    <x:row r="14">
      <x:c r="A14" s="524"/>
      <x:c r="B14" s="524"/>
      <x:c r="C14" s="524"/>
      <x:c r="D14" s="524"/>
      <x:c r="E14" s="551" t="n"/>
      <x:c r="F14" s="551" t="n"/>
      <x:c r="G14" s="524"/>
      <x:c r="H14" s="524"/>
      <x:c r="I14" s="524"/>
      <x:c r="J14" s="524"/>
      <x:c r="K14" s="524"/>
      <x:c r="L14" s="524"/>
    </x:row>
    <x:row r="15">
      <x:c r="A15" s="524"/>
      <x:c r="B15" s="524"/>
      <x:c r="C15" s="524"/>
      <x:c r="D15" s="524"/>
      <x:c r="E15" s="551" t="n"/>
      <x:c r="F15" s="551" t="n"/>
      <x:c r="G15" s="524"/>
      <x:c r="H15" s="524"/>
      <x:c r="I15" s="524"/>
      <x:c r="J15" s="524"/>
      <x:c r="K15" s="524"/>
      <x:c r="L15" s="524"/>
    </x:row>
    <x:row r="16">
      <x:c r="A16" s="524"/>
      <x:c r="B16" s="524"/>
      <x:c r="C16" s="524"/>
      <x:c r="D16" s="524"/>
      <x:c r="E16" s="551" t="n"/>
      <x:c r="F16" s="551" t="n"/>
      <x:c r="G16" s="524"/>
      <x:c r="H16" s="524"/>
      <x:c r="I16" s="524"/>
      <x:c r="J16" s="524"/>
      <x:c r="K16" s="524"/>
      <x:c r="L16" s="524"/>
    </x:row>
    <x:row r="17">
      <x:c r="A17" s="524"/>
      <x:c r="B17" s="524"/>
      <x:c r="C17" s="524"/>
      <x:c r="D17" s="524"/>
      <x:c r="E17" s="551" t="n"/>
      <x:c r="F17" s="551" t="n"/>
      <x:c r="G17" s="524"/>
      <x:c r="H17" s="524"/>
      <x:c r="I17" s="524"/>
      <x:c r="J17" s="524"/>
      <x:c r="K17" s="524"/>
      <x:c r="L17" s="524"/>
    </x:row>
    <x:row r="18">
      <x:c r="A18" s="524"/>
      <x:c r="B18" s="524"/>
      <x:c r="C18" s="524"/>
      <x:c r="D18" s="524"/>
      <x:c r="E18" s="551" t="n"/>
      <x:c r="F18" s="551" t="n"/>
      <x:c r="G18" s="524"/>
      <x:c r="H18" s="524"/>
      <x:c r="I18" s="524"/>
      <x:c r="J18" s="524"/>
      <x:c r="K18" s="524"/>
      <x:c r="L18" s="524"/>
    </x:row>
    <x:row r="19">
      <x:c r="A19" s="524"/>
      <x:c r="B19" s="524"/>
      <x:c r="C19" s="524"/>
      <x:c r="D19" s="524"/>
      <x:c r="E19" s="551" t="n"/>
      <x:c r="F19" s="551" t="n"/>
      <x:c r="G19" s="524"/>
      <x:c r="H19" s="524"/>
      <x:c r="I19" s="524"/>
      <x:c r="J19" s="524"/>
      <x:c r="K19" s="524"/>
      <x:c r="L19" s="524"/>
    </x:row>
    <x:row r="20">
      <x:c r="A20" s="524"/>
      <x:c r="B20" s="524"/>
      <x:c r="C20" s="524"/>
      <x:c r="D20" s="524"/>
      <x:c r="E20" s="551" t="n"/>
      <x:c r="F20" s="551" t="n"/>
      <x:c r="G20" s="524"/>
      <x:c r="H20" s="524"/>
      <x:c r="I20" s="524"/>
      <x:c r="J20" s="524"/>
      <x:c r="K20" s="524"/>
      <x:c r="L20" s="524"/>
    </x:row>
    <x:row r="21">
      <x:c r="A21" s="524"/>
      <x:c r="B21" s="524"/>
      <x:c r="C21" s="524"/>
      <x:c r="D21" s="524"/>
      <x:c r="E21" s="551" t="n"/>
      <x:c r="F21" s="551" t="n"/>
      <x:c r="G21" s="524"/>
      <x:c r="H21" s="524"/>
      <x:c r="I21" s="524"/>
      <x:c r="J21" s="524"/>
      <x:c r="K21" s="524"/>
      <x:c r="L21" s="524"/>
    </x:row>
    <x:row r="22">
      <x:c r="A22" s="524"/>
      <x:c r="B22" s="524"/>
      <x:c r="C22" s="524"/>
      <x:c r="D22" s="524"/>
      <x:c r="E22" s="551" t="n"/>
      <x:c r="F22" s="551" t="n"/>
      <x:c r="G22" s="524"/>
      <x:c r="H22" s="524"/>
      <x:c r="I22" s="524"/>
      <x:c r="J22" s="524"/>
      <x:c r="K22" s="524"/>
      <x:c r="L22" s="524"/>
    </x:row>
    <x:row r="23">
      <x:c r="A23" s="524"/>
      <x:c r="B23" s="524"/>
      <x:c r="C23" s="524"/>
      <x:c r="D23" s="524"/>
      <x:c r="E23" s="551" t="n"/>
      <x:c r="F23" s="551" t="n"/>
      <x:c r="G23" s="524"/>
      <x:c r="H23" s="524"/>
      <x:c r="I23" s="524"/>
      <x:c r="J23" s="524"/>
      <x:c r="K23" s="524"/>
      <x:c r="L23" s="524"/>
    </x:row>
    <x:row r="24">
      <x:c r="A24" s="524"/>
      <x:c r="B24" s="524"/>
      <x:c r="C24" s="524"/>
      <x:c r="D24" s="524"/>
      <x:c r="E24" s="551" t="n"/>
      <x:c r="F24" s="551" t="n"/>
      <x:c r="G24" s="524"/>
      <x:c r="H24" s="524"/>
      <x:c r="I24" s="524"/>
      <x:c r="J24" s="524"/>
      <x:c r="K24" s="524"/>
      <x:c r="L24" s="524"/>
    </x:row>
    <x:row r="25">
      <x:c r="A25" s="524"/>
      <x:c r="B25" s="524"/>
      <x:c r="C25" s="524"/>
      <x:c r="D25" s="524"/>
      <x:c r="E25" s="551" t="n"/>
      <x:c r="F25" s="551" t="n"/>
      <x:c r="G25" s="524"/>
      <x:c r="H25" s="524"/>
      <x:c r="I25" s="524"/>
      <x:c r="J25" s="524"/>
      <x:c r="K25" s="524"/>
      <x:c r="L25" s="524"/>
    </x:row>
    <x:row r="26">
      <x:c r="A26" s="524"/>
      <x:c r="B26" s="524"/>
      <x:c r="C26" s="524"/>
      <x:c r="D26" s="524"/>
      <x:c r="E26" s="551" t="n"/>
      <x:c r="F26" s="551" t="n"/>
      <x:c r="G26" s="524"/>
      <x:c r="H26" s="524"/>
      <x:c r="I26" s="524"/>
      <x:c r="J26" s="524"/>
      <x:c r="K26" s="524"/>
      <x:c r="L26" s="524"/>
    </x:row>
    <x:row r="27">
      <x:c r="A27" s="524"/>
      <x:c r="B27" s="524"/>
      <x:c r="C27" s="524"/>
      <x:c r="D27" s="524"/>
      <x:c r="E27" s="551" t="n"/>
      <x:c r="F27" s="551" t="n"/>
      <x:c r="G27" s="524"/>
      <x:c r="H27" s="524"/>
      <x:c r="I27" s="524"/>
      <x:c r="J27" s="524"/>
      <x:c r="K27" s="524"/>
      <x:c r="L27" s="524"/>
    </x:row>
    <x:row r="28">
      <x:c r="A28" s="524"/>
      <x:c r="B28" s="524"/>
      <x:c r="C28" s="524"/>
      <x:c r="D28" s="524"/>
      <x:c r="E28" s="551" t="n"/>
      <x:c r="F28" s="551" t="n"/>
      <x:c r="G28" s="524"/>
      <x:c r="H28" s="524"/>
      <x:c r="I28" s="524"/>
      <x:c r="J28" s="524"/>
      <x:c r="K28" s="524"/>
      <x:c r="L28" s="524"/>
    </x:row>
    <x:row r="29">
      <x:c r="A29" s="524"/>
      <x:c r="B29" s="524"/>
      <x:c r="C29" s="524"/>
      <x:c r="D29" s="524"/>
      <x:c r="E29" s="551" t="n"/>
      <x:c r="F29" s="551" t="n"/>
      <x:c r="G29" s="524"/>
      <x:c r="H29" s="524"/>
      <x:c r="I29" s="524"/>
      <x:c r="J29" s="524"/>
      <x:c r="K29" s="524"/>
      <x:c r="L29" s="524"/>
    </x:row>
    <x:row r="30">
      <x:c r="A30" s="524"/>
      <x:c r="B30" s="524"/>
      <x:c r="C30" s="524"/>
      <x:c r="D30" s="524"/>
      <x:c r="E30" s="551" t="n"/>
      <x:c r="F30" s="551" t="n"/>
      <x:c r="G30" s="524"/>
      <x:c r="H30" s="524"/>
      <x:c r="I30" s="524"/>
      <x:c r="J30" s="524"/>
      <x:c r="K30" s="524"/>
      <x:c r="L30" s="524"/>
    </x:row>
    <x:row r="31">
      <x:c r="A31" s="524"/>
      <x:c r="B31" s="524"/>
      <x:c r="C31" s="524"/>
      <x:c r="D31" s="524"/>
      <x:c r="E31" s="551" t="n"/>
      <x:c r="F31" s="551" t="n"/>
      <x:c r="G31" s="524"/>
      <x:c r="H31" s="524"/>
      <x:c r="I31" s="524"/>
      <x:c r="J31" s="524"/>
      <x:c r="K31" s="524"/>
      <x:c r="L31" s="524"/>
    </x:row>
    <x:row r="32">
      <x:c r="A32" s="524"/>
      <x:c r="B32" s="524"/>
      <x:c r="C32" s="524"/>
      <x:c r="D32" s="524"/>
      <x:c r="E32" s="551" t="n"/>
      <x:c r="F32" s="551" t="n"/>
      <x:c r="G32" s="524"/>
      <x:c r="H32" s="524"/>
      <x:c r="I32" s="524"/>
      <x:c r="J32" s="524"/>
      <x:c r="K32" s="524"/>
      <x:c r="L32" s="524"/>
    </x:row>
    <x:row r="33">
      <x:c r="A33" s="524"/>
      <x:c r="B33" s="524"/>
      <x:c r="C33" s="524"/>
      <x:c r="D33" s="524"/>
      <x:c r="E33" s="551" t="n"/>
      <x:c r="F33" s="551" t="n"/>
      <x:c r="G33" s="524"/>
      <x:c r="H33" s="524"/>
      <x:c r="I33" s="524"/>
      <x:c r="J33" s="524"/>
      <x:c r="K33" s="524"/>
      <x:c r="L33" s="524"/>
    </x:row>
    <x:row r="34">
      <x:c r="A34" s="524"/>
      <x:c r="B34" s="524"/>
      <x:c r="C34" s="524"/>
      <x:c r="D34" s="524"/>
      <x:c r="E34" s="551" t="n"/>
      <x:c r="F34" s="551" t="n"/>
      <x:c r="G34" s="524"/>
      <x:c r="H34" s="524"/>
      <x:c r="I34" s="524"/>
      <x:c r="J34" s="524"/>
      <x:c r="K34" s="524"/>
      <x:c r="L34" s="524"/>
    </x:row>
    <x:row r="35">
      <x:c r="A35" s="524"/>
      <x:c r="B35" s="524"/>
      <x:c r="C35" s="524"/>
      <x:c r="D35" s="524"/>
      <x:c r="E35" s="551" t="n"/>
      <x:c r="F35" s="551" t="n"/>
      <x:c r="G35" s="524"/>
      <x:c r="H35" s="524"/>
      <x:c r="I35" s="524"/>
      <x:c r="J35" s="524"/>
      <x:c r="K35" s="524"/>
      <x:c r="L35" s="524"/>
    </x:row>
    <x:row r="36">
      <x:c r="A36" s="524"/>
      <x:c r="B36" s="524"/>
      <x:c r="C36" s="524"/>
      <x:c r="D36" s="524"/>
      <x:c r="E36" s="551" t="n"/>
      <x:c r="F36" s="551" t="n"/>
      <x:c r="G36" s="524"/>
      <x:c r="H36" s="524"/>
      <x:c r="I36" s="524"/>
      <x:c r="J36" s="524"/>
      <x:c r="K36" s="524"/>
      <x:c r="L36" s="524"/>
    </x:row>
    <x:row r="37">
      <x:c r="A37" s="524"/>
      <x:c r="B37" s="524"/>
      <x:c r="C37" s="524"/>
      <x:c r="D37" s="524"/>
      <x:c r="E37" s="551" t="n"/>
      <x:c r="F37" s="551" t="n"/>
      <x:c r="G37" s="524"/>
      <x:c r="H37" s="524"/>
      <x:c r="I37" s="524"/>
      <x:c r="J37" s="524"/>
      <x:c r="K37" s="524"/>
      <x:c r="L37" s="524"/>
    </x:row>
    <x:row r="38">
      <x:c r="A38" s="524"/>
      <x:c r="B38" s="524"/>
      <x:c r="C38" s="524"/>
      <x:c r="D38" s="524"/>
      <x:c r="E38" s="551" t="n"/>
      <x:c r="F38" s="551" t="n"/>
      <x:c r="G38" s="524"/>
      <x:c r="H38" s="524"/>
      <x:c r="I38" s="524"/>
      <x:c r="J38" s="524"/>
      <x:c r="K38" s="524"/>
      <x:c r="L38" s="524"/>
    </x:row>
    <x:row r="39">
      <x:c r="A39" s="524"/>
      <x:c r="B39" s="524"/>
      <x:c r="C39" s="524"/>
      <x:c r="D39" s="524"/>
      <x:c r="E39" s="551" t="n"/>
      <x:c r="F39" s="551" t="n"/>
      <x:c r="G39" s="524"/>
      <x:c r="H39" s="524"/>
      <x:c r="I39" s="524"/>
      <x:c r="J39" s="524"/>
      <x:c r="K39" s="524"/>
      <x:c r="L39" s="524"/>
    </x:row>
    <x:row r="40">
      <x:c r="A40" s="524"/>
      <x:c r="B40" s="524"/>
      <x:c r="C40" s="524"/>
      <x:c r="D40" s="524"/>
      <x:c r="E40" s="551" t="n"/>
      <x:c r="F40" s="551" t="n"/>
      <x:c r="G40" s="524"/>
      <x:c r="H40" s="524"/>
      <x:c r="I40" s="524"/>
      <x:c r="J40" s="524"/>
      <x:c r="K40" s="524"/>
      <x:c r="L40" s="524"/>
    </x:row>
    <x:row r="41">
      <x:c r="A41" s="524"/>
      <x:c r="B41" s="524"/>
      <x:c r="C41" s="524"/>
      <x:c r="D41" s="524"/>
      <x:c r="E41" s="551" t="n"/>
      <x:c r="F41" s="551" t="n"/>
      <x:c r="G41" s="524"/>
      <x:c r="H41" s="524"/>
      <x:c r="I41" s="524"/>
      <x:c r="J41" s="524"/>
      <x:c r="K41" s="524"/>
      <x:c r="L41" s="524"/>
    </x:row>
    <x:row r="42">
      <x:c r="A42" s="524"/>
      <x:c r="B42" s="524"/>
      <x:c r="C42" s="524"/>
      <x:c r="D42" s="524"/>
      <x:c r="E42" s="551" t="n"/>
      <x:c r="F42" s="551" t="n"/>
      <x:c r="G42" s="524"/>
      <x:c r="H42" s="524"/>
      <x:c r="I42" s="524"/>
      <x:c r="J42" s="524"/>
      <x:c r="K42" s="524"/>
      <x:c r="L42" s="524"/>
    </x:row>
    <x:row r="43">
      <x:c r="A43" s="524"/>
      <x:c r="B43" s="524"/>
      <x:c r="C43" s="524"/>
      <x:c r="D43" s="524"/>
      <x:c r="E43" s="551" t="n"/>
      <x:c r="F43" s="551" t="n"/>
      <x:c r="G43" s="524"/>
      <x:c r="H43" s="524"/>
      <x:c r="I43" s="524"/>
      <x:c r="J43" s="524"/>
      <x:c r="K43" s="524"/>
      <x:c r="L43" s="524"/>
    </x:row>
    <x:row r="44">
      <x:c r="A44" s="524"/>
      <x:c r="B44" s="524"/>
      <x:c r="C44" s="524"/>
      <x:c r="D44" s="524"/>
      <x:c r="E44" s="551" t="n"/>
      <x:c r="F44" s="551" t="n"/>
      <x:c r="G44" s="524"/>
      <x:c r="H44" s="524"/>
      <x:c r="I44" s="524"/>
      <x:c r="J44" s="524"/>
      <x:c r="K44" s="524"/>
      <x:c r="L44" s="524"/>
    </x:row>
    <x:row r="45">
      <x:c r="A45" s="524"/>
      <x:c r="B45" s="524"/>
      <x:c r="C45" s="524"/>
      <x:c r="D45" s="524"/>
      <x:c r="E45" s="551" t="n"/>
      <x:c r="F45" s="551" t="n"/>
      <x:c r="G45" s="524"/>
      <x:c r="H45" s="524"/>
      <x:c r="I45" s="524"/>
      <x:c r="J45" s="524"/>
      <x:c r="K45" s="524"/>
      <x:c r="L45" s="524"/>
    </x:row>
    <x:row r="46">
      <x:c r="A46" s="524"/>
      <x:c r="B46" s="524"/>
      <x:c r="C46" s="524"/>
      <x:c r="D46" s="524"/>
      <x:c r="E46" s="551" t="n"/>
      <x:c r="F46" s="551" t="n"/>
      <x:c r="G46" s="524"/>
      <x:c r="H46" s="524"/>
      <x:c r="I46" s="524"/>
      <x:c r="J46" s="524"/>
      <x:c r="K46" s="524"/>
      <x:c r="L46" s="524"/>
    </x:row>
    <x:row r="47">
      <x:c r="A47" s="524"/>
      <x:c r="B47" s="524"/>
      <x:c r="C47" s="524"/>
      <x:c r="D47" s="524"/>
      <x:c r="E47" s="551" t="n"/>
      <x:c r="F47" s="551" t="n"/>
      <x:c r="G47" s="524"/>
      <x:c r="H47" s="524"/>
      <x:c r="I47" s="524"/>
      <x:c r="J47" s="524"/>
      <x:c r="K47" s="524"/>
      <x:c r="L47" s="524"/>
    </x:row>
    <x:row r="48">
      <x:c r="A48" s="524"/>
      <x:c r="B48" s="524"/>
      <x:c r="C48" s="524"/>
      <x:c r="D48" s="524"/>
      <x:c r="E48" s="551" t="n"/>
      <x:c r="F48" s="551" t="n"/>
      <x:c r="G48" s="524"/>
      <x:c r="H48" s="524"/>
      <x:c r="I48" s="524"/>
      <x:c r="J48" s="524"/>
      <x:c r="K48" s="524"/>
      <x:c r="L48" s="524"/>
    </x:row>
    <x:row r="49">
      <x:c r="A49" s="524"/>
      <x:c r="B49" s="524"/>
      <x:c r="C49" s="524"/>
      <x:c r="D49" s="524"/>
      <x:c r="E49" s="551" t="n"/>
      <x:c r="F49" s="551" t="n"/>
      <x:c r="G49" s="524"/>
      <x:c r="H49" s="524"/>
      <x:c r="I49" s="524"/>
      <x:c r="J49" s="524"/>
      <x:c r="K49" s="524"/>
      <x:c r="L49" s="524"/>
    </x:row>
    <x:row r="50">
      <x:c r="A50" s="524"/>
      <x:c r="B50" s="524"/>
      <x:c r="C50" s="524"/>
      <x:c r="D50" s="524"/>
      <x:c r="E50" s="551" t="n"/>
      <x:c r="F50" s="551" t="n"/>
      <x:c r="G50" s="524"/>
      <x:c r="H50" s="524"/>
      <x:c r="I50" s="524"/>
      <x:c r="J50" s="524"/>
      <x:c r="K50" s="524"/>
      <x:c r="L50" s="524"/>
    </x:row>
    <x:row r="51">
      <x:c r="A51" s="524"/>
      <x:c r="B51" s="524"/>
      <x:c r="C51" s="524"/>
      <x:c r="D51" s="524"/>
      <x:c r="E51" s="551" t="n"/>
      <x:c r="F51" s="551" t="n"/>
      <x:c r="G51" s="524"/>
      <x:c r="H51" s="524"/>
      <x:c r="I51" s="524"/>
      <x:c r="J51" s="524"/>
      <x:c r="K51" s="524"/>
      <x:c r="L51" s="524"/>
    </x:row>
    <x:row r="52">
      <x:c r="A52" s="524"/>
      <x:c r="B52" s="524"/>
      <x:c r="C52" s="524"/>
      <x:c r="D52" s="524"/>
      <x:c r="E52" s="551" t="n"/>
      <x:c r="F52" s="551" t="n"/>
      <x:c r="G52" s="524"/>
      <x:c r="H52" s="524"/>
      <x:c r="I52" s="524"/>
      <x:c r="J52" s="524"/>
      <x:c r="K52" s="524"/>
      <x:c r="L52" s="524"/>
    </x:row>
    <x:row r="53">
      <x:c r="A53" s="524"/>
      <x:c r="B53" s="524"/>
      <x:c r="C53" s="524"/>
      <x:c r="D53" s="524"/>
      <x:c r="E53" s="551" t="n"/>
      <x:c r="F53" s="551" t="n"/>
      <x:c r="G53" s="524"/>
      <x:c r="H53" s="524"/>
      <x:c r="I53" s="524"/>
      <x:c r="J53" s="524"/>
      <x:c r="K53" s="524"/>
      <x:c r="L53" s="524"/>
    </x:row>
    <x:row r="54">
      <x:c r="A54" s="524"/>
      <x:c r="B54" s="524"/>
      <x:c r="C54" s="524"/>
      <x:c r="D54" s="524"/>
      <x:c r="E54" s="551" t="n"/>
      <x:c r="F54" s="551" t="n"/>
      <x:c r="G54" s="524"/>
      <x:c r="H54" s="524"/>
      <x:c r="I54" s="524"/>
      <x:c r="J54" s="524"/>
      <x:c r="K54" s="524"/>
      <x:c r="L54" s="524"/>
    </x:row>
    <x:row r="55">
      <x:c r="A55" s="524"/>
      <x:c r="B55" s="524"/>
      <x:c r="C55" s="524"/>
      <x:c r="D55" s="524"/>
      <x:c r="E55" s="551" t="n"/>
      <x:c r="F55" s="551" t="n"/>
      <x:c r="G55" s="524"/>
      <x:c r="H55" s="524"/>
      <x:c r="I55" s="524"/>
      <x:c r="J55" s="524"/>
      <x:c r="K55" s="524"/>
      <x:c r="L55" s="524"/>
    </x:row>
    <x:row r="56">
      <x:c r="A56" s="524"/>
      <x:c r="B56" s="524"/>
      <x:c r="C56" s="524"/>
      <x:c r="D56" s="524"/>
      <x:c r="E56" s="551" t="n"/>
      <x:c r="F56" s="551" t="n"/>
      <x:c r="G56" s="524"/>
      <x:c r="H56" s="524"/>
      <x:c r="I56" s="524"/>
      <x:c r="J56" s="524"/>
      <x:c r="K56" s="524"/>
      <x:c r="L56" s="524"/>
    </x:row>
    <x:row r="57">
      <x:c r="A57" s="524"/>
      <x:c r="B57" s="524"/>
      <x:c r="C57" s="524"/>
      <x:c r="D57" s="524"/>
      <x:c r="E57" s="551" t="n"/>
      <x:c r="F57" s="551" t="n"/>
      <x:c r="G57" s="524"/>
      <x:c r="H57" s="524"/>
      <x:c r="I57" s="524"/>
      <x:c r="J57" s="524"/>
      <x:c r="K57" s="524"/>
      <x:c r="L57" s="524"/>
    </x:row>
    <x:row r="58">
      <x:c r="A58" s="524"/>
      <x:c r="B58" s="524"/>
      <x:c r="C58" s="524"/>
      <x:c r="D58" s="524"/>
      <x:c r="E58" s="551" t="n"/>
      <x:c r="F58" s="551" t="n"/>
      <x:c r="G58" s="524"/>
      <x:c r="H58" s="524"/>
      <x:c r="I58" s="524"/>
      <x:c r="J58" s="524"/>
      <x:c r="K58" s="524"/>
      <x:c r="L58" s="524"/>
    </x:row>
    <x:row r="59">
      <x:c r="A59" s="524"/>
      <x:c r="B59" s="524"/>
      <x:c r="C59" s="524"/>
      <x:c r="D59" s="524"/>
      <x:c r="E59" s="551" t="n"/>
      <x:c r="F59" s="551" t="n"/>
      <x:c r="G59" s="524"/>
      <x:c r="H59" s="524"/>
      <x:c r="I59" s="524"/>
      <x:c r="J59" s="524"/>
      <x:c r="K59" s="524"/>
      <x:c r="L59" s="524"/>
    </x:row>
    <x:row r="60">
      <x:c r="A60" s="524"/>
      <x:c r="B60" s="524"/>
      <x:c r="C60" s="524"/>
      <x:c r="D60" s="524"/>
      <x:c r="E60" s="551" t="n"/>
      <x:c r="F60" s="551" t="n"/>
      <x:c r="G60" s="524"/>
      <x:c r="H60" s="524"/>
      <x:c r="I60" s="524"/>
      <x:c r="J60" s="524"/>
      <x:c r="K60" s="524"/>
      <x:c r="L60" s="524"/>
    </x:row>
    <x:row r="61">
      <x:c r="A61" s="524"/>
      <x:c r="B61" s="524"/>
      <x:c r="C61" s="524"/>
      <x:c r="D61" s="524"/>
      <x:c r="E61" s="551" t="n"/>
      <x:c r="F61" s="551" t="n"/>
      <x:c r="G61" s="524"/>
      <x:c r="H61" s="524"/>
      <x:c r="I61" s="524"/>
      <x:c r="J61" s="524"/>
      <x:c r="K61" s="524"/>
      <x:c r="L61" s="524"/>
    </x:row>
    <x:row r="62">
      <x:c r="A62" s="524"/>
      <x:c r="B62" s="524"/>
      <x:c r="C62" s="524"/>
      <x:c r="D62" s="524"/>
      <x:c r="E62" s="551" t="n"/>
      <x:c r="F62" s="551" t="n"/>
      <x:c r="G62" s="524"/>
      <x:c r="H62" s="524"/>
      <x:c r="I62" s="524"/>
      <x:c r="J62" s="524"/>
      <x:c r="K62" s="524"/>
      <x:c r="L62" s="524"/>
    </x:row>
    <x:row r="63">
      <x:c r="A63" s="524"/>
      <x:c r="B63" s="524"/>
      <x:c r="C63" s="524"/>
      <x:c r="D63" s="524"/>
      <x:c r="E63" s="551" t="n"/>
      <x:c r="F63" s="551" t="n"/>
      <x:c r="G63" s="524"/>
      <x:c r="H63" s="524"/>
      <x:c r="I63" s="524"/>
      <x:c r="J63" s="524"/>
      <x:c r="K63" s="524"/>
      <x:c r="L63" s="524"/>
    </x:row>
    <x:row r="64">
      <x:c r="A64" s="524"/>
      <x:c r="B64" s="524"/>
      <x:c r="C64" s="524"/>
      <x:c r="D64" s="524"/>
      <x:c r="E64" s="551" t="n"/>
      <x:c r="F64" s="551" t="n"/>
      <x:c r="G64" s="524"/>
      <x:c r="H64" s="524"/>
      <x:c r="I64" s="524"/>
      <x:c r="J64" s="524"/>
      <x:c r="K64" s="524"/>
      <x:c r="L64" s="524"/>
    </x:row>
    <x:row r="65">
      <x:c r="A65" s="524"/>
      <x:c r="B65" s="524"/>
      <x:c r="C65" s="524"/>
      <x:c r="D65" s="524"/>
      <x:c r="E65" s="551" t="n"/>
      <x:c r="F65" s="551" t="n"/>
      <x:c r="G65" s="524"/>
      <x:c r="H65" s="524"/>
      <x:c r="I65" s="524"/>
      <x:c r="J65" s="524"/>
      <x:c r="K65" s="524"/>
      <x:c r="L65" s="524"/>
    </x:row>
    <x:row r="66">
      <x:c r="A66" s="524"/>
      <x:c r="B66" s="524"/>
      <x:c r="C66" s="524"/>
      <x:c r="D66" s="524"/>
      <x:c r="E66" s="551" t="n"/>
      <x:c r="F66" s="551" t="n"/>
      <x:c r="G66" s="524"/>
      <x:c r="H66" s="524"/>
      <x:c r="I66" s="524"/>
      <x:c r="J66" s="524"/>
      <x:c r="K66" s="524"/>
      <x:c r="L66" s="524"/>
    </x:row>
    <x:row r="67">
      <x:c r="A67" s="524"/>
      <x:c r="B67" s="524"/>
      <x:c r="C67" s="524"/>
      <x:c r="D67" s="524"/>
      <x:c r="E67" s="551" t="n"/>
      <x:c r="F67" s="551" t="n"/>
      <x:c r="G67" s="524"/>
      <x:c r="H67" s="524"/>
      <x:c r="I67" s="524"/>
      <x:c r="J67" s="524"/>
      <x:c r="K67" s="524"/>
      <x:c r="L67" s="524"/>
    </x:row>
    <x:row r="68">
      <x:c r="A68" s="524"/>
      <x:c r="B68" s="524"/>
      <x:c r="C68" s="524"/>
      <x:c r="D68" s="524"/>
      <x:c r="E68" s="551" t="n"/>
      <x:c r="F68" s="551" t="n"/>
      <x:c r="G68" s="524"/>
      <x:c r="H68" s="524"/>
      <x:c r="I68" s="524"/>
      <x:c r="J68" s="524"/>
      <x:c r="K68" s="524"/>
      <x:c r="L68" s="524"/>
    </x:row>
    <x:row r="69">
      <x:c r="A69" s="524"/>
      <x:c r="B69" s="524"/>
      <x:c r="C69" s="524"/>
      <x:c r="D69" s="524"/>
      <x:c r="E69" s="551" t="n"/>
      <x:c r="F69" s="551" t="n"/>
      <x:c r="G69" s="524"/>
      <x:c r="H69" s="524"/>
      <x:c r="I69" s="524"/>
      <x:c r="J69" s="524"/>
      <x:c r="K69" s="524"/>
      <x:c r="L69" s="524"/>
    </x:row>
    <x:row r="70">
      <x:c r="A70" s="524"/>
      <x:c r="B70" s="524"/>
      <x:c r="C70" s="524"/>
      <x:c r="D70" s="524"/>
      <x:c r="E70" s="551" t="n"/>
      <x:c r="F70" s="551" t="n"/>
      <x:c r="G70" s="524"/>
      <x:c r="H70" s="524"/>
      <x:c r="I70" s="524"/>
      <x:c r="J70" s="524"/>
      <x:c r="K70" s="524"/>
      <x:c r="L70" s="524"/>
    </x:row>
    <x:row r="71">
      <x:c r="A71" s="524"/>
      <x:c r="B71" s="524"/>
      <x:c r="C71" s="524"/>
      <x:c r="D71" s="524"/>
      <x:c r="E71" s="551" t="n"/>
      <x:c r="F71" s="551" t="n"/>
      <x:c r="G71" s="524"/>
      <x:c r="H71" s="524"/>
      <x:c r="I71" s="524"/>
      <x:c r="J71" s="524"/>
      <x:c r="K71" s="524"/>
      <x:c r="L71" s="524"/>
    </x:row>
    <x:row r="72">
      <x:c r="A72" s="524"/>
      <x:c r="B72" s="524"/>
      <x:c r="C72" s="524"/>
      <x:c r="D72" s="524"/>
      <x:c r="E72" s="551" t="n"/>
      <x:c r="F72" s="551" t="n"/>
      <x:c r="G72" s="524"/>
      <x:c r="H72" s="524"/>
      <x:c r="I72" s="524"/>
      <x:c r="J72" s="524"/>
      <x:c r="K72" s="524"/>
      <x:c r="L72" s="524"/>
    </x:row>
    <x:row r="73">
      <x:c r="A73" s="524"/>
      <x:c r="B73" s="524"/>
      <x:c r="C73" s="524"/>
      <x:c r="D73" s="524"/>
      <x:c r="E73" s="551" t="n"/>
      <x:c r="F73" s="551" t="n"/>
      <x:c r="G73" s="524"/>
      <x:c r="H73" s="524"/>
      <x:c r="I73" s="524"/>
      <x:c r="J73" s="524"/>
      <x:c r="K73" s="524"/>
      <x:c r="L73" s="524"/>
    </x:row>
    <x:row r="74">
      <x:c r="A74" s="524"/>
      <x:c r="B74" s="524"/>
      <x:c r="C74" s="524"/>
      <x:c r="D74" s="524"/>
      <x:c r="E74" s="551" t="n"/>
      <x:c r="F74" s="551" t="n"/>
      <x:c r="G74" s="524"/>
      <x:c r="H74" s="524"/>
      <x:c r="I74" s="524"/>
      <x:c r="J74" s="524"/>
      <x:c r="K74" s="524"/>
      <x:c r="L74" s="524"/>
    </x:row>
    <x:row r="75">
      <x:c r="A75" s="524"/>
      <x:c r="B75" s="524"/>
      <x:c r="C75" s="524"/>
      <x:c r="D75" s="524"/>
      <x:c r="E75" s="551" t="n"/>
      <x:c r="F75" s="551" t="n"/>
      <x:c r="G75" s="524"/>
      <x:c r="H75" s="524"/>
      <x:c r="I75" s="524"/>
      <x:c r="J75" s="524"/>
      <x:c r="K75" s="524"/>
      <x:c r="L75" s="524"/>
    </x:row>
    <x:row r="76">
      <x:c r="A76" s="524"/>
      <x:c r="B76" s="524"/>
      <x:c r="C76" s="524"/>
      <x:c r="D76" s="524"/>
      <x:c r="E76" s="551" t="n"/>
      <x:c r="F76" s="551" t="n"/>
      <x:c r="G76" s="524"/>
      <x:c r="H76" s="524"/>
      <x:c r="I76" s="524"/>
      <x:c r="J76" s="524"/>
      <x:c r="K76" s="524"/>
      <x:c r="L76" s="524"/>
    </x:row>
    <x:row r="77">
      <x:c r="A77" s="524"/>
      <x:c r="B77" s="524"/>
      <x:c r="C77" s="524"/>
      <x:c r="D77" s="524"/>
      <x:c r="E77" s="551" t="n"/>
      <x:c r="F77" s="551" t="n"/>
      <x:c r="G77" s="524"/>
      <x:c r="H77" s="524"/>
      <x:c r="I77" s="524"/>
      <x:c r="J77" s="524"/>
      <x:c r="K77" s="524"/>
      <x:c r="L77" s="524"/>
    </x:row>
    <x:row r="78">
      <x:c r="A78" s="524"/>
      <x:c r="B78" s="524"/>
      <x:c r="C78" s="524"/>
      <x:c r="D78" s="524"/>
      <x:c r="E78" s="551" t="n"/>
      <x:c r="F78" s="551" t="n"/>
      <x:c r="G78" s="524"/>
      <x:c r="H78" s="524"/>
      <x:c r="I78" s="524"/>
      <x:c r="J78" s="524"/>
      <x:c r="K78" s="524"/>
      <x:c r="L78" s="524"/>
    </x:row>
    <x:row r="79">
      <x:c r="A79" s="524"/>
      <x:c r="B79" s="524"/>
      <x:c r="C79" s="524"/>
      <x:c r="D79" s="524"/>
      <x:c r="E79" s="551" t="n"/>
      <x:c r="F79" s="551" t="n"/>
      <x:c r="G79" s="524"/>
      <x:c r="H79" s="524"/>
      <x:c r="I79" s="524"/>
      <x:c r="J79" s="524"/>
      <x:c r="K79" s="524"/>
      <x:c r="L79" s="524"/>
    </x:row>
    <x:row r="80">
      <x:c r="A80" s="524"/>
      <x:c r="B80" s="524"/>
      <x:c r="C80" s="524"/>
      <x:c r="D80" s="524"/>
      <x:c r="E80" s="551" t="n"/>
      <x:c r="F80" s="551" t="n"/>
      <x:c r="G80" s="524"/>
      <x:c r="H80" s="524"/>
      <x:c r="I80" s="524"/>
      <x:c r="J80" s="524"/>
      <x:c r="K80" s="524"/>
      <x:c r="L80" s="524"/>
    </x:row>
    <x:row r="81">
      <x:c r="A81" s="524"/>
      <x:c r="B81" s="524"/>
      <x:c r="C81" s="524"/>
      <x:c r="D81" s="524"/>
      <x:c r="E81" s="551" t="n"/>
      <x:c r="F81" s="551" t="n"/>
      <x:c r="G81" s="524"/>
      <x:c r="H81" s="524"/>
      <x:c r="I81" s="524"/>
      <x:c r="J81" s="524"/>
      <x:c r="K81" s="524"/>
      <x:c r="L81" s="524"/>
    </x:row>
    <x:row r="82">
      <x:c r="A82" s="524"/>
      <x:c r="B82" s="524"/>
      <x:c r="C82" s="524"/>
      <x:c r="D82" s="524"/>
      <x:c r="E82" s="551" t="n"/>
      <x:c r="F82" s="551" t="n"/>
      <x:c r="G82" s="524"/>
      <x:c r="H82" s="524"/>
      <x:c r="I82" s="524"/>
      <x:c r="J82" s="524"/>
      <x:c r="K82" s="524"/>
      <x:c r="L82" s="524"/>
    </x:row>
    <x:row r="83">
      <x:c r="A83" s="524"/>
      <x:c r="B83" s="524"/>
      <x:c r="C83" s="524"/>
      <x:c r="D83" s="524"/>
      <x:c r="E83" s="551" t="n"/>
      <x:c r="F83" s="551" t="n"/>
      <x:c r="G83" s="524"/>
      <x:c r="H83" s="524"/>
      <x:c r="I83" s="524"/>
      <x:c r="J83" s="524"/>
      <x:c r="K83" s="524"/>
      <x:c r="L83" s="524"/>
    </x:row>
    <x:row r="84">
      <x:c r="A84" s="524"/>
      <x:c r="B84" s="524"/>
      <x:c r="C84" s="524"/>
      <x:c r="D84" s="524"/>
      <x:c r="E84" s="551" t="n"/>
      <x:c r="F84" s="551" t="n"/>
      <x:c r="G84" s="524"/>
      <x:c r="H84" s="524"/>
      <x:c r="I84" s="524"/>
      <x:c r="J84" s="524"/>
      <x:c r="K84" s="524"/>
      <x:c r="L84" s="524"/>
    </x:row>
    <x:row r="85">
      <x:c r="A85" s="524"/>
      <x:c r="B85" s="524"/>
      <x:c r="C85" s="524"/>
      <x:c r="D85" s="524"/>
      <x:c r="E85" s="551" t="n"/>
      <x:c r="F85" s="551" t="n"/>
      <x:c r="G85" s="524"/>
      <x:c r="H85" s="524"/>
      <x:c r="I85" s="524"/>
      <x:c r="J85" s="524"/>
      <x:c r="K85" s="524"/>
      <x:c r="L85" s="524"/>
    </x:row>
    <x:row r="86">
      <x:c r="A86" s="524"/>
      <x:c r="B86" s="524"/>
      <x:c r="C86" s="524"/>
      <x:c r="D86" s="524"/>
      <x:c r="E86" s="551" t="n"/>
      <x:c r="F86" s="551" t="n"/>
      <x:c r="G86" s="524"/>
      <x:c r="H86" s="524"/>
      <x:c r="I86" s="524"/>
      <x:c r="J86" s="524"/>
      <x:c r="K86" s="524"/>
      <x:c r="L86" s="524"/>
    </x:row>
    <x:row r="87">
      <x:c r="A87" s="524"/>
      <x:c r="B87" s="524"/>
      <x:c r="C87" s="524"/>
      <x:c r="D87" s="524"/>
      <x:c r="E87" s="551" t="n"/>
      <x:c r="F87" s="551" t="n"/>
      <x:c r="G87" s="524"/>
      <x:c r="H87" s="524"/>
      <x:c r="I87" s="524"/>
      <x:c r="J87" s="524"/>
      <x:c r="K87" s="524"/>
      <x:c r="L87" s="524"/>
    </x:row>
    <x:row r="88">
      <x:c r="A88" s="524"/>
      <x:c r="B88" s="524"/>
      <x:c r="C88" s="524"/>
      <x:c r="D88" s="524"/>
      <x:c r="E88" s="551" t="n"/>
      <x:c r="F88" s="551" t="n"/>
      <x:c r="G88" s="524"/>
      <x:c r="H88" s="524"/>
      <x:c r="I88" s="524"/>
      <x:c r="J88" s="524"/>
      <x:c r="K88" s="524"/>
      <x:c r="L88" s="524"/>
    </x:row>
    <x:row r="89">
      <x:c r="A89" s="524"/>
      <x:c r="B89" s="524"/>
      <x:c r="C89" s="524"/>
      <x:c r="D89" s="524"/>
      <x:c r="E89" s="551" t="n"/>
      <x:c r="F89" s="551" t="n"/>
      <x:c r="G89" s="524"/>
      <x:c r="H89" s="524"/>
      <x:c r="I89" s="524"/>
      <x:c r="J89" s="524"/>
      <x:c r="K89" s="524"/>
      <x:c r="L89" s="524"/>
    </x:row>
    <x:row r="90">
      <x:c r="A90" s="524"/>
      <x:c r="B90" s="524"/>
      <x:c r="C90" s="524"/>
      <x:c r="D90" s="524"/>
      <x:c r="E90" s="551" t="n"/>
      <x:c r="F90" s="551" t="n"/>
      <x:c r="G90" s="524"/>
      <x:c r="H90" s="524"/>
      <x:c r="I90" s="524"/>
      <x:c r="J90" s="524"/>
      <x:c r="K90" s="524"/>
      <x:c r="L90" s="524"/>
    </x:row>
    <x:row r="91">
      <x:c r="A91" s="524"/>
      <x:c r="B91" s="524"/>
      <x:c r="C91" s="524"/>
      <x:c r="D91" s="524"/>
      <x:c r="E91" s="551" t="n"/>
      <x:c r="F91" s="551" t="n"/>
      <x:c r="G91" s="524"/>
      <x:c r="H91" s="524"/>
      <x:c r="I91" s="524"/>
      <x:c r="J91" s="524"/>
      <x:c r="K91" s="524"/>
      <x:c r="L91" s="524"/>
    </x:row>
    <x:row r="92">
      <x:c r="A92" s="524"/>
      <x:c r="B92" s="524"/>
      <x:c r="C92" s="524"/>
      <x:c r="D92" s="524"/>
      <x:c r="E92" s="551" t="n"/>
      <x:c r="F92" s="551" t="n"/>
      <x:c r="G92" s="524"/>
      <x:c r="H92" s="524"/>
      <x:c r="I92" s="524"/>
      <x:c r="J92" s="524"/>
      <x:c r="K92" s="524"/>
      <x:c r="L92" s="524"/>
    </x:row>
    <x:row r="93">
      <x:c r="A93" s="524"/>
      <x:c r="B93" s="524"/>
      <x:c r="C93" s="524"/>
      <x:c r="D93" s="524"/>
      <x:c r="E93" s="551" t="n"/>
      <x:c r="F93" s="551" t="n"/>
      <x:c r="G93" s="524"/>
      <x:c r="H93" s="524"/>
      <x:c r="I93" s="524"/>
      <x:c r="J93" s="524"/>
      <x:c r="K93" s="524"/>
      <x:c r="L93" s="524"/>
    </x:row>
    <x:row r="94">
      <x:c r="A94" s="524"/>
      <x:c r="B94" s="524"/>
      <x:c r="C94" s="524"/>
      <x:c r="D94" s="524"/>
      <x:c r="E94" s="551" t="n"/>
      <x:c r="F94" s="551" t="n"/>
      <x:c r="G94" s="524"/>
      <x:c r="H94" s="524"/>
      <x:c r="I94" s="524"/>
      <x:c r="J94" s="524"/>
      <x:c r="K94" s="524"/>
      <x:c r="L94" s="524"/>
    </x:row>
    <x:row r="95">
      <x:c r="A95" s="524"/>
      <x:c r="B95" s="524"/>
      <x:c r="C95" s="524"/>
      <x:c r="D95" s="524"/>
      <x:c r="E95" s="551" t="n"/>
      <x:c r="F95" s="551" t="n"/>
      <x:c r="G95" s="524"/>
      <x:c r="H95" s="524"/>
      <x:c r="I95" s="524"/>
      <x:c r="J95" s="524"/>
      <x:c r="K95" s="524"/>
      <x:c r="L95" s="524"/>
    </x:row>
    <x:row r="96">
      <x:c r="A96" s="524"/>
      <x:c r="B96" s="524"/>
      <x:c r="C96" s="524"/>
      <x:c r="D96" s="524"/>
      <x:c r="E96" s="551" t="n"/>
      <x:c r="F96" s="551" t="n"/>
      <x:c r="G96" s="524"/>
      <x:c r="H96" s="524"/>
      <x:c r="I96" s="524"/>
      <x:c r="J96" s="524"/>
      <x:c r="K96" s="524"/>
      <x:c r="L96" s="524"/>
    </x:row>
    <x:row r="97">
      <x:c r="A97" s="524"/>
      <x:c r="B97" s="524"/>
      <x:c r="C97" s="524"/>
      <x:c r="D97" s="524"/>
      <x:c r="E97" s="551" t="n"/>
      <x:c r="F97" s="551" t="n"/>
      <x:c r="G97" s="524"/>
      <x:c r="H97" s="524"/>
      <x:c r="I97" s="524"/>
      <x:c r="J97" s="524"/>
      <x:c r="K97" s="524"/>
      <x:c r="L97" s="524"/>
    </x:row>
    <x:row r="98">
      <x:c r="A98" s="524"/>
      <x:c r="B98" s="524"/>
      <x:c r="C98" s="524"/>
      <x:c r="D98" s="524"/>
      <x:c r="E98" s="551" t="n"/>
      <x:c r="F98" s="551" t="n"/>
      <x:c r="G98" s="524"/>
      <x:c r="H98" s="524"/>
      <x:c r="I98" s="524"/>
      <x:c r="J98" s="524"/>
      <x:c r="K98" s="524"/>
      <x:c r="L98" s="524"/>
    </x:row>
    <x:row r="99">
      <x:c r="A99" s="524"/>
      <x:c r="B99" s="524"/>
      <x:c r="C99" s="524"/>
      <x:c r="D99" s="524"/>
      <x:c r="E99" s="551" t="n"/>
      <x:c r="F99" s="551" t="n"/>
      <x:c r="G99" s="524"/>
      <x:c r="H99" s="524"/>
      <x:c r="I99" s="524"/>
      <x:c r="J99" s="524"/>
      <x:c r="K99" s="524"/>
      <x:c r="L99" s="524"/>
    </x:row>
    <x:row r="100">
      <x:c r="A100" s="524"/>
      <x:c r="B100" s="524"/>
      <x:c r="C100" s="524"/>
      <x:c r="D100" s="524"/>
      <x:c r="E100" s="551" t="n"/>
      <x:c r="F100" s="551" t="n"/>
      <x:c r="G100" s="524"/>
      <x:c r="H100" s="524"/>
      <x:c r="I100" s="524"/>
      <x:c r="J100" s="524"/>
      <x:c r="K100" s="524"/>
      <x:c r="L100" s="524"/>
    </x:row>
    <x:row r="101">
      <x:c r="A101" s="524"/>
      <x:c r="B101" s="524"/>
      <x:c r="C101" s="524"/>
      <x:c r="D101" s="524"/>
      <x:c r="E101" s="551" t="n"/>
      <x:c r="F101" s="551" t="n"/>
      <x:c r="G101" s="524"/>
      <x:c r="H101" s="524"/>
      <x:c r="I101" s="524"/>
      <x:c r="J101" s="524"/>
      <x:c r="K101" s="524"/>
      <x:c r="L101" s="524"/>
    </x:row>
    <x:row r="102">
      <x:c r="A102" s="524"/>
      <x:c r="B102" s="524"/>
      <x:c r="C102" s="524"/>
      <x:c r="D102" s="524"/>
      <x:c r="E102" s="551" t="n"/>
      <x:c r="F102" s="551" t="n"/>
      <x:c r="G102" s="524"/>
      <x:c r="H102" s="524"/>
      <x:c r="I102" s="524"/>
      <x:c r="J102" s="524"/>
      <x:c r="K102" s="524"/>
      <x:c r="L102" s="524"/>
    </x:row>
    <x:row r="103">
      <x:c r="A103" s="524"/>
      <x:c r="B103" s="524"/>
      <x:c r="C103" s="524"/>
      <x:c r="D103" s="524"/>
      <x:c r="E103" s="551" t="n"/>
      <x:c r="F103" s="551" t="n"/>
      <x:c r="G103" s="524"/>
      <x:c r="H103" s="524"/>
      <x:c r="I103" s="524"/>
      <x:c r="J103" s="524"/>
      <x:c r="K103" s="524"/>
      <x:c r="L103" s="524"/>
    </x:row>
    <x:row r="104">
      <x:c r="A104" s="524"/>
      <x:c r="B104" s="524"/>
      <x:c r="C104" s="524"/>
      <x:c r="D104" s="524"/>
      <x:c r="E104" s="551" t="n"/>
      <x:c r="F104" s="551" t="n"/>
      <x:c r="G104" s="524"/>
      <x:c r="H104" s="524"/>
      <x:c r="I104" s="524"/>
      <x:c r="J104" s="524"/>
      <x:c r="K104" s="524"/>
      <x:c r="L104" s="524"/>
    </x:row>
    <x:row r="105">
      <x:c r="A105" s="524"/>
      <x:c r="B105" s="524"/>
      <x:c r="C105" s="524"/>
      <x:c r="D105" s="524"/>
      <x:c r="E105" s="551" t="n"/>
      <x:c r="F105" s="551" t="n"/>
      <x:c r="G105" s="524"/>
      <x:c r="H105" s="524"/>
      <x:c r="I105" s="524"/>
      <x:c r="J105" s="524"/>
      <x:c r="K105" s="524"/>
      <x:c r="L105" s="524"/>
    </x:row>
    <x:row r="106">
      <x:c r="A106" s="524"/>
      <x:c r="B106" s="524"/>
      <x:c r="C106" s="524"/>
      <x:c r="D106" s="524"/>
      <x:c r="E106" s="551" t="n"/>
      <x:c r="F106" s="551" t="n"/>
      <x:c r="G106" s="524"/>
      <x:c r="H106" s="524"/>
      <x:c r="I106" s="524"/>
      <x:c r="J106" s="524"/>
      <x:c r="K106" s="524"/>
      <x:c r="L106" s="524"/>
    </x:row>
    <x:row r="107">
      <x:c r="A107" s="524"/>
      <x:c r="B107" s="524"/>
      <x:c r="C107" s="524"/>
      <x:c r="D107" s="524"/>
      <x:c r="E107" s="551" t="n"/>
      <x:c r="F107" s="551" t="n"/>
      <x:c r="G107" s="524"/>
      <x:c r="H107" s="524"/>
      <x:c r="I107" s="524"/>
      <x:c r="J107" s="524"/>
      <x:c r="K107" s="524"/>
      <x:c r="L107" s="524"/>
    </x:row>
    <x:row r="108">
      <x:c r="A108" s="524"/>
      <x:c r="B108" s="524"/>
      <x:c r="C108" s="524"/>
      <x:c r="D108" s="524"/>
      <x:c r="E108" s="551" t="n"/>
      <x:c r="F108" s="551" t="n"/>
      <x:c r="G108" s="524"/>
      <x:c r="H108" s="524"/>
      <x:c r="I108" s="524"/>
      <x:c r="J108" s="524"/>
      <x:c r="K108" s="524"/>
      <x:c r="L108" s="524"/>
    </x:row>
    <x:row r="109">
      <x:c r="A109" s="524"/>
      <x:c r="B109" s="524"/>
      <x:c r="C109" s="524"/>
      <x:c r="D109" s="524"/>
      <x:c r="E109" s="551" t="n"/>
      <x:c r="F109" s="551" t="n"/>
      <x:c r="G109" s="524"/>
      <x:c r="H109" s="524"/>
      <x:c r="I109" s="524"/>
      <x:c r="J109" s="524"/>
      <x:c r="K109" s="524"/>
      <x:c r="L109" s="524"/>
    </x:row>
    <x:row r="110">
      <x:c r="A110" s="524"/>
      <x:c r="B110" s="524"/>
      <x:c r="C110" s="524"/>
      <x:c r="D110" s="524"/>
      <x:c r="E110" s="551" t="n"/>
      <x:c r="F110" s="551" t="n"/>
      <x:c r="G110" s="524"/>
      <x:c r="H110" s="524"/>
      <x:c r="I110" s="524"/>
      <x:c r="J110" s="524"/>
      <x:c r="K110" s="524"/>
      <x:c r="L110" s="524"/>
    </x:row>
    <x:row r="111">
      <x:c r="A111" s="524"/>
      <x:c r="B111" s="524"/>
      <x:c r="C111" s="524"/>
      <x:c r="D111" s="524"/>
      <x:c r="E111" s="551" t="n"/>
      <x:c r="F111" s="551" t="n"/>
      <x:c r="G111" s="524"/>
      <x:c r="H111" s="524"/>
      <x:c r="I111" s="524"/>
      <x:c r="J111" s="524"/>
      <x:c r="K111" s="524"/>
      <x:c r="L111" s="524"/>
    </x:row>
    <x:row r="112">
      <x:c r="A112" s="524"/>
      <x:c r="B112" s="524"/>
      <x:c r="C112" s="524"/>
      <x:c r="D112" s="524"/>
      <x:c r="E112" s="551" t="n"/>
      <x:c r="F112" s="551" t="n"/>
      <x:c r="G112" s="524"/>
      <x:c r="H112" s="524"/>
      <x:c r="I112" s="524"/>
      <x:c r="J112" s="524"/>
      <x:c r="K112" s="524"/>
      <x:c r="L112" s="524"/>
    </x:row>
    <x:row r="113">
      <x:c r="A113" s="524"/>
      <x:c r="B113" s="524"/>
      <x:c r="C113" s="524"/>
      <x:c r="D113" s="524"/>
      <x:c r="E113" s="551" t="n"/>
      <x:c r="F113" s="551" t="n"/>
      <x:c r="G113" s="524"/>
      <x:c r="H113" s="524"/>
      <x:c r="I113" s="524"/>
      <x:c r="J113" s="524"/>
      <x:c r="K113" s="524"/>
      <x:c r="L113" s="524"/>
    </x:row>
    <x:row r="114">
      <x:c r="A114" s="524"/>
      <x:c r="B114" s="524"/>
      <x:c r="C114" s="524"/>
      <x:c r="D114" s="524"/>
      <x:c r="E114" s="551" t="n"/>
      <x:c r="F114" s="551" t="n"/>
      <x:c r="G114" s="524"/>
      <x:c r="H114" s="524"/>
      <x:c r="I114" s="524"/>
      <x:c r="J114" s="524"/>
      <x:c r="K114" s="524"/>
      <x:c r="L114" s="524"/>
    </x:row>
    <x:row r="115">
      <x:c r="A115" s="524"/>
      <x:c r="B115" s="524"/>
      <x:c r="C115" s="524"/>
      <x:c r="D115" s="524"/>
      <x:c r="E115" s="551" t="n"/>
      <x:c r="F115" s="551" t="n"/>
      <x:c r="G115" s="524"/>
      <x:c r="H115" s="524"/>
      <x:c r="I115" s="524"/>
      <x:c r="J115" s="524"/>
      <x:c r="K115" s="524"/>
      <x:c r="L115" s="524"/>
    </x:row>
    <x:row r="116">
      <x:c r="A116" s="524"/>
      <x:c r="B116" s="524"/>
      <x:c r="C116" s="524"/>
      <x:c r="D116" s="524"/>
      <x:c r="E116" s="551" t="n"/>
      <x:c r="F116" s="551" t="n"/>
      <x:c r="G116" s="524"/>
      <x:c r="H116" s="524"/>
      <x:c r="I116" s="524"/>
      <x:c r="J116" s="524"/>
      <x:c r="K116" s="524"/>
      <x:c r="L116" s="524"/>
    </x:row>
    <x:row r="117">
      <x:c r="A117" s="524"/>
      <x:c r="B117" s="524"/>
      <x:c r="C117" s="524"/>
      <x:c r="D117" s="524"/>
      <x:c r="E117" s="551" t="n"/>
      <x:c r="F117" s="551" t="n"/>
      <x:c r="G117" s="524"/>
      <x:c r="H117" s="524"/>
      <x:c r="I117" s="524"/>
      <x:c r="J117" s="524"/>
      <x:c r="K117" s="524"/>
      <x:c r="L117" s="524"/>
    </x:row>
    <x:row r="118">
      <x:c r="A118" s="524"/>
      <x:c r="B118" s="524"/>
      <x:c r="C118" s="524"/>
      <x:c r="D118" s="524"/>
      <x:c r="E118" s="551" t="n"/>
      <x:c r="F118" s="551" t="n"/>
      <x:c r="G118" s="524"/>
      <x:c r="H118" s="524"/>
      <x:c r="I118" s="524"/>
      <x:c r="J118" s="524"/>
      <x:c r="K118" s="524"/>
      <x:c r="L118" s="524"/>
    </x:row>
    <x:row r="119">
      <x:c r="A119" s="524"/>
      <x:c r="B119" s="524"/>
      <x:c r="C119" s="524"/>
      <x:c r="D119" s="524"/>
      <x:c r="E119" s="551" t="n"/>
      <x:c r="F119" s="551" t="n"/>
      <x:c r="G119" s="524"/>
      <x:c r="H119" s="524"/>
      <x:c r="I119" s="524"/>
      <x:c r="J119" s="524"/>
      <x:c r="K119" s="524"/>
      <x:c r="L119" s="524"/>
    </x:row>
    <x:row r="120">
      <x:c r="A120" s="524"/>
      <x:c r="B120" s="524"/>
      <x:c r="C120" s="524"/>
      <x:c r="D120" s="524"/>
      <x:c r="E120" s="551" t="n"/>
      <x:c r="F120" s="551" t="n"/>
      <x:c r="G120" s="524"/>
      <x:c r="H120" s="524"/>
      <x:c r="I120" s="524"/>
      <x:c r="J120" s="524"/>
      <x:c r="K120" s="524"/>
      <x:c r="L120" s="524"/>
    </x:row>
    <x:row r="121">
      <x:c r="A121" s="524"/>
      <x:c r="B121" s="524"/>
      <x:c r="C121" s="524"/>
      <x:c r="D121" s="524"/>
      <x:c r="E121" s="551" t="n"/>
      <x:c r="F121" s="551" t="n"/>
      <x:c r="G121" s="524"/>
      <x:c r="H121" s="524"/>
      <x:c r="I121" s="524"/>
      <x:c r="J121" s="524"/>
      <x:c r="K121" s="524"/>
      <x:c r="L121" s="524"/>
    </x:row>
    <x:row r="122">
      <x:c r="A122" s="524"/>
      <x:c r="B122" s="524"/>
      <x:c r="C122" s="524"/>
      <x:c r="D122" s="524"/>
      <x:c r="E122" s="551" t="n"/>
      <x:c r="F122" s="551" t="n"/>
      <x:c r="G122" s="524"/>
      <x:c r="H122" s="524"/>
      <x:c r="I122" s="524"/>
      <x:c r="J122" s="524"/>
      <x:c r="K122" s="524"/>
      <x:c r="L122" s="524"/>
    </x:row>
    <x:row r="123">
      <x:c r="A123" s="524"/>
      <x:c r="B123" s="524"/>
      <x:c r="C123" s="524"/>
      <x:c r="D123" s="524"/>
      <x:c r="E123" s="551" t="n"/>
      <x:c r="F123" s="551" t="n"/>
      <x:c r="G123" s="524"/>
      <x:c r="H123" s="524"/>
      <x:c r="I123" s="524"/>
      <x:c r="J123" s="524"/>
      <x:c r="K123" s="524"/>
      <x:c r="L123" s="524"/>
    </x:row>
    <x:row r="124">
      <x:c r="A124" s="524"/>
      <x:c r="B124" s="524"/>
      <x:c r="C124" s="524"/>
      <x:c r="D124" s="524"/>
      <x:c r="E124" s="551" t="n"/>
      <x:c r="F124" s="551" t="n"/>
      <x:c r="G124" s="524"/>
      <x:c r="H124" s="524"/>
      <x:c r="I124" s="524"/>
      <x:c r="J124" s="524"/>
      <x:c r="K124" s="524"/>
      <x:c r="L124" s="524"/>
    </x:row>
    <x:row r="125">
      <x:c r="A125" s="524"/>
      <x:c r="B125" s="524"/>
      <x:c r="C125" s="524"/>
      <x:c r="D125" s="524"/>
      <x:c r="E125" s="551" t="n"/>
      <x:c r="F125" s="551" t="n"/>
      <x:c r="G125" s="524"/>
      <x:c r="H125" s="524"/>
      <x:c r="I125" s="524"/>
      <x:c r="J125" s="524"/>
      <x:c r="K125" s="524"/>
      <x:c r="L125" s="524"/>
    </x:row>
    <x:row r="126">
      <x:c r="A126" s="524"/>
      <x:c r="B126" s="524"/>
      <x:c r="C126" s="524"/>
      <x:c r="D126" s="524"/>
      <x:c r="E126" s="551" t="n"/>
      <x:c r="F126" s="551" t="n"/>
      <x:c r="G126" s="524"/>
      <x:c r="H126" s="524"/>
      <x:c r="I126" s="524"/>
      <x:c r="J126" s="524"/>
      <x:c r="K126" s="524"/>
      <x:c r="L126" s="524"/>
    </x:row>
    <x:row r="127">
      <x:c r="A127" s="524"/>
      <x:c r="B127" s="524"/>
      <x:c r="C127" s="524"/>
      <x:c r="D127" s="524"/>
      <x:c r="E127" s="551" t="n"/>
      <x:c r="F127" s="551" t="n"/>
      <x:c r="G127" s="524"/>
      <x:c r="H127" s="524"/>
      <x:c r="I127" s="524"/>
      <x:c r="J127" s="524"/>
      <x:c r="K127" s="524"/>
      <x:c r="L127" s="524"/>
    </x:row>
    <x:row r="128">
      <x:c r="A128" s="524"/>
      <x:c r="B128" s="524"/>
      <x:c r="C128" s="524"/>
      <x:c r="D128" s="524"/>
      <x:c r="E128" s="551" t="n"/>
      <x:c r="F128" s="551" t="n"/>
      <x:c r="G128" s="524"/>
      <x:c r="H128" s="524"/>
      <x:c r="I128" s="524"/>
      <x:c r="J128" s="524"/>
      <x:c r="K128" s="524"/>
      <x:c r="L128" s="524"/>
    </x:row>
    <x:row r="129">
      <x:c r="A129" s="524"/>
      <x:c r="B129" s="524"/>
      <x:c r="C129" s="524"/>
      <x:c r="D129" s="524"/>
      <x:c r="E129" s="551" t="n"/>
      <x:c r="F129" s="551" t="n"/>
      <x:c r="G129" s="524"/>
      <x:c r="H129" s="524"/>
      <x:c r="I129" s="524"/>
      <x:c r="J129" s="524"/>
      <x:c r="K129" s="524"/>
      <x:c r="L129" s="524"/>
    </x:row>
    <x:row r="130">
      <x:c r="A130" s="524"/>
      <x:c r="B130" s="524"/>
      <x:c r="C130" s="524"/>
      <x:c r="D130" s="524"/>
      <x:c r="E130" s="551" t="n"/>
      <x:c r="F130" s="551" t="n"/>
      <x:c r="G130" s="524"/>
      <x:c r="H130" s="524"/>
      <x:c r="I130" s="524"/>
      <x:c r="J130" s="524"/>
      <x:c r="K130" s="524"/>
      <x:c r="L130" s="524"/>
    </x:row>
    <x:row r="131">
      <x:c r="A131" s="524"/>
      <x:c r="B131" s="524"/>
      <x:c r="C131" s="524"/>
      <x:c r="D131" s="524"/>
      <x:c r="E131" s="551" t="n"/>
      <x:c r="F131" s="551" t="n"/>
      <x:c r="G131" s="524"/>
      <x:c r="H131" s="524"/>
      <x:c r="I131" s="524"/>
      <x:c r="J131" s="524"/>
      <x:c r="K131" s="524"/>
      <x:c r="L131" s="524"/>
    </x:row>
    <x:row r="132">
      <x:c r="A132" s="524"/>
      <x:c r="B132" s="524"/>
      <x:c r="C132" s="524"/>
      <x:c r="D132" s="524"/>
      <x:c r="E132" s="551" t="n"/>
      <x:c r="F132" s="551" t="n"/>
      <x:c r="G132" s="524"/>
      <x:c r="H132" s="524"/>
      <x:c r="I132" s="524"/>
      <x:c r="J132" s="524"/>
      <x:c r="K132" s="524"/>
      <x:c r="L132" s="524"/>
    </x:row>
    <x:row r="133">
      <x:c r="A133" s="524"/>
      <x:c r="B133" s="524"/>
      <x:c r="C133" s="524"/>
      <x:c r="D133" s="524"/>
      <x:c r="E133" s="551" t="n"/>
      <x:c r="F133" s="551" t="n"/>
      <x:c r="G133" s="524"/>
      <x:c r="H133" s="524"/>
      <x:c r="I133" s="524"/>
      <x:c r="J133" s="524"/>
      <x:c r="K133" s="524"/>
      <x:c r="L133" s="524"/>
    </x:row>
    <x:row r="134">
      <x:c r="A134" s="524"/>
      <x:c r="B134" s="524"/>
      <x:c r="C134" s="524"/>
      <x:c r="D134" s="524"/>
      <x:c r="E134" s="551" t="n"/>
      <x:c r="F134" s="551" t="n"/>
      <x:c r="G134" s="524"/>
      <x:c r="H134" s="524"/>
      <x:c r="I134" s="524"/>
      <x:c r="J134" s="524"/>
      <x:c r="K134" s="524"/>
      <x:c r="L134" s="524"/>
    </x:row>
    <x:row r="135">
      <x:c r="A135" s="524"/>
      <x:c r="B135" s="524"/>
      <x:c r="C135" s="524"/>
      <x:c r="D135" s="524"/>
      <x:c r="E135" s="551" t="n"/>
      <x:c r="F135" s="551" t="n"/>
      <x:c r="G135" s="524"/>
      <x:c r="H135" s="524"/>
      <x:c r="I135" s="524"/>
      <x:c r="J135" s="524"/>
      <x:c r="K135" s="524"/>
      <x:c r="L135" s="524"/>
    </x:row>
    <x:row r="136">
      <x:c r="A136" s="524"/>
      <x:c r="B136" s="524"/>
      <x:c r="C136" s="524"/>
      <x:c r="D136" s="524"/>
      <x:c r="E136" s="551" t="n"/>
      <x:c r="F136" s="551" t="n"/>
      <x:c r="G136" s="524"/>
      <x:c r="H136" s="524"/>
      <x:c r="I136" s="524"/>
      <x:c r="J136" s="524"/>
      <x:c r="K136" s="524"/>
      <x:c r="L136" s="524"/>
    </x:row>
    <x:row r="137">
      <x:c r="A137" s="524"/>
      <x:c r="B137" s="524"/>
      <x:c r="C137" s="524"/>
      <x:c r="D137" s="524"/>
      <x:c r="E137" s="551" t="n"/>
      <x:c r="F137" s="551" t="n"/>
      <x:c r="G137" s="524"/>
      <x:c r="H137" s="524"/>
      <x:c r="I137" s="524"/>
      <x:c r="J137" s="524"/>
      <x:c r="K137" s="524"/>
      <x:c r="L137" s="524"/>
    </x:row>
    <x:row r="138">
      <x:c r="A138" s="524"/>
      <x:c r="B138" s="524"/>
      <x:c r="C138" s="524"/>
      <x:c r="D138" s="524"/>
      <x:c r="E138" s="551" t="n"/>
      <x:c r="F138" s="551" t="n"/>
      <x:c r="G138" s="524"/>
      <x:c r="H138" s="524"/>
      <x:c r="I138" s="524"/>
      <x:c r="J138" s="524"/>
      <x:c r="K138" s="524"/>
      <x:c r="L138" s="524"/>
    </x:row>
    <x:row r="139">
      <x:c r="A139" s="524"/>
      <x:c r="B139" s="524"/>
      <x:c r="C139" s="524"/>
      <x:c r="D139" s="524"/>
      <x:c r="E139" s="551" t="n"/>
      <x:c r="F139" s="551" t="n"/>
      <x:c r="G139" s="524"/>
      <x:c r="H139" s="524"/>
      <x:c r="I139" s="524"/>
      <x:c r="J139" s="524"/>
      <x:c r="K139" s="524"/>
      <x:c r="L139" s="524"/>
    </x:row>
    <x:row r="140">
      <x:c r="A140" s="524"/>
      <x:c r="B140" s="524"/>
      <x:c r="C140" s="524"/>
      <x:c r="D140" s="524"/>
      <x:c r="E140" s="551" t="n"/>
      <x:c r="F140" s="551" t="n"/>
      <x:c r="G140" s="524"/>
      <x:c r="H140" s="524"/>
      <x:c r="I140" s="524"/>
      <x:c r="J140" s="524"/>
      <x:c r="K140" s="524"/>
      <x:c r="L140" s="524"/>
    </x:row>
    <x:row r="141">
      <x:c r="A141" s="524"/>
      <x:c r="B141" s="524"/>
      <x:c r="C141" s="524"/>
      <x:c r="D141" s="524"/>
      <x:c r="E141" s="551" t="n"/>
      <x:c r="F141" s="551" t="n"/>
      <x:c r="G141" s="524"/>
      <x:c r="H141" s="524"/>
      <x:c r="I141" s="524"/>
      <x:c r="J141" s="524"/>
      <x:c r="K141" s="524"/>
      <x:c r="L141" s="524"/>
    </x:row>
    <x:row r="142">
      <x:c r="A142" s="524"/>
      <x:c r="B142" s="524"/>
      <x:c r="C142" s="524"/>
      <x:c r="D142" s="524"/>
      <x:c r="E142" s="551" t="n"/>
      <x:c r="F142" s="551" t="n"/>
      <x:c r="G142" s="524"/>
      <x:c r="H142" s="524"/>
      <x:c r="I142" s="524"/>
      <x:c r="J142" s="524"/>
      <x:c r="K142" s="524"/>
      <x:c r="L142" s="524"/>
    </x:row>
    <x:row r="143">
      <x:c r="A143" s="524"/>
      <x:c r="B143" s="524"/>
      <x:c r="C143" s="524"/>
      <x:c r="D143" s="524"/>
      <x:c r="E143" s="551" t="n"/>
      <x:c r="F143" s="551" t="n"/>
      <x:c r="G143" s="524"/>
      <x:c r="H143" s="524"/>
      <x:c r="I143" s="524"/>
      <x:c r="J143" s="524"/>
      <x:c r="K143" s="524"/>
      <x:c r="L143" s="524"/>
    </x:row>
    <x:row r="144">
      <x:c r="A144" s="524"/>
      <x:c r="B144" s="524"/>
      <x:c r="C144" s="524"/>
      <x:c r="D144" s="524"/>
      <x:c r="E144" s="551" t="n"/>
      <x:c r="F144" s="551" t="n"/>
      <x:c r="G144" s="524"/>
      <x:c r="H144" s="524"/>
      <x:c r="I144" s="524"/>
      <x:c r="J144" s="524"/>
      <x:c r="K144" s="524"/>
      <x:c r="L144" s="524"/>
    </x:row>
    <x:row r="145">
      <x:c r="A145" s="524"/>
      <x:c r="B145" s="524"/>
      <x:c r="C145" s="524"/>
      <x:c r="D145" s="524"/>
      <x:c r="E145" s="551" t="n"/>
      <x:c r="F145" s="551" t="n"/>
      <x:c r="G145" s="524"/>
      <x:c r="H145" s="524"/>
      <x:c r="I145" s="524"/>
      <x:c r="J145" s="524"/>
      <x:c r="K145" s="524"/>
      <x:c r="L145" s="524"/>
    </x:row>
    <x:row r="146">
      <x:c r="A146" s="524"/>
      <x:c r="B146" s="524"/>
      <x:c r="C146" s="524"/>
      <x:c r="D146" s="524"/>
      <x:c r="E146" s="551" t="n"/>
      <x:c r="F146" s="551" t="n"/>
      <x:c r="G146" s="524"/>
      <x:c r="H146" s="524"/>
      <x:c r="I146" s="524"/>
      <x:c r="J146" s="524"/>
      <x:c r="K146" s="524"/>
      <x:c r="L146" s="524"/>
    </x:row>
    <x:row r="147">
      <x:c r="A147" s="524"/>
      <x:c r="B147" s="524"/>
      <x:c r="C147" s="524"/>
      <x:c r="D147" s="524"/>
      <x:c r="E147" s="551" t="n"/>
      <x:c r="F147" s="551" t="n"/>
      <x:c r="G147" s="524"/>
      <x:c r="H147" s="524"/>
      <x:c r="I147" s="524"/>
      <x:c r="J147" s="524"/>
      <x:c r="K147" s="524"/>
      <x:c r="L147" s="524"/>
    </x:row>
    <x:row r="148">
      <x:c r="A148" s="524"/>
      <x:c r="B148" s="524"/>
      <x:c r="C148" s="524"/>
      <x:c r="D148" s="524"/>
      <x:c r="E148" s="551" t="n"/>
      <x:c r="F148" s="551" t="n"/>
      <x:c r="G148" s="524"/>
      <x:c r="H148" s="524"/>
      <x:c r="I148" s="524"/>
      <x:c r="J148" s="524"/>
      <x:c r="K148" s="524"/>
      <x:c r="L148" s="524"/>
    </x:row>
    <x:row r="149">
      <x:c r="A149" s="524"/>
      <x:c r="B149" s="524"/>
      <x:c r="C149" s="524"/>
      <x:c r="D149" s="524"/>
      <x:c r="E149" s="551" t="n"/>
      <x:c r="F149" s="551" t="n"/>
      <x:c r="G149" s="524"/>
      <x:c r="H149" s="524"/>
      <x:c r="I149" s="524"/>
      <x:c r="J149" s="524"/>
      <x:c r="K149" s="524"/>
      <x:c r="L149" s="524"/>
    </x:row>
    <x:row r="150">
      <x:c r="A150" s="524"/>
      <x:c r="B150" s="524"/>
      <x:c r="C150" s="524"/>
      <x:c r="D150" s="524"/>
      <x:c r="E150" s="551" t="n"/>
      <x:c r="F150" s="551" t="n"/>
      <x:c r="G150" s="524"/>
      <x:c r="H150" s="524"/>
      <x:c r="I150" s="524"/>
      <x:c r="J150" s="524"/>
      <x:c r="K150" s="524"/>
      <x:c r="L150" s="524"/>
    </x:row>
    <x:row r="151">
      <x:c r="A151" s="524"/>
      <x:c r="B151" s="524"/>
      <x:c r="C151" s="524"/>
      <x:c r="D151" s="524"/>
      <x:c r="E151" s="551" t="n"/>
      <x:c r="F151" s="551" t="n"/>
      <x:c r="G151" s="524"/>
      <x:c r="H151" s="524"/>
      <x:c r="I151" s="524"/>
      <x:c r="J151" s="524"/>
      <x:c r="K151" s="524"/>
      <x:c r="L151" s="524"/>
    </x:row>
    <x:row r="152">
      <x:c r="A152" s="524"/>
      <x:c r="B152" s="524"/>
      <x:c r="C152" s="524"/>
      <x:c r="D152" s="524"/>
      <x:c r="E152" s="551" t="n"/>
      <x:c r="F152" s="551" t="n"/>
      <x:c r="G152" s="524"/>
      <x:c r="H152" s="524"/>
      <x:c r="I152" s="524"/>
      <x:c r="J152" s="524"/>
      <x:c r="K152" s="524"/>
      <x:c r="L152" s="524"/>
    </x:row>
    <x:row r="153">
      <x:c r="A153" s="524"/>
      <x:c r="B153" s="524"/>
      <x:c r="C153" s="524"/>
      <x:c r="D153" s="524"/>
      <x:c r="E153" s="551" t="n"/>
      <x:c r="F153" s="551" t="n"/>
      <x:c r="G153" s="524"/>
      <x:c r="H153" s="524"/>
      <x:c r="I153" s="524"/>
      <x:c r="J153" s="524"/>
      <x:c r="K153" s="524"/>
      <x:c r="L153" s="524"/>
    </x:row>
    <x:row r="154">
      <x:c r="A154" s="524"/>
      <x:c r="B154" s="524"/>
      <x:c r="C154" s="524"/>
      <x:c r="D154" s="524"/>
      <x:c r="E154" s="551" t="n"/>
      <x:c r="F154" s="551" t="n"/>
      <x:c r="G154" s="524"/>
      <x:c r="H154" s="524"/>
      <x:c r="I154" s="524"/>
      <x:c r="J154" s="524"/>
      <x:c r="K154" s="524"/>
      <x:c r="L154" s="524"/>
    </x:row>
    <x:row r="155">
      <x:c r="A155" s="524"/>
      <x:c r="B155" s="524"/>
      <x:c r="C155" s="524"/>
      <x:c r="D155" s="524"/>
      <x:c r="E155" s="551" t="n"/>
      <x:c r="F155" s="551" t="n"/>
      <x:c r="G155" s="524"/>
      <x:c r="H155" s="524"/>
      <x:c r="I155" s="524"/>
      <x:c r="J155" s="524"/>
      <x:c r="K155" s="524"/>
      <x:c r="L155" s="524"/>
    </x:row>
    <x:row r="156">
      <x:c r="A156" s="524"/>
      <x:c r="B156" s="524"/>
      <x:c r="C156" s="524"/>
      <x:c r="D156" s="524"/>
      <x:c r="E156" s="551" t="n"/>
      <x:c r="F156" s="551" t="n"/>
      <x:c r="G156" s="524"/>
      <x:c r="H156" s="524"/>
      <x:c r="I156" s="524"/>
      <x:c r="J156" s="524"/>
      <x:c r="K156" s="524"/>
      <x:c r="L156" s="524"/>
    </x:row>
    <x:row r="157">
      <x:c r="A157" s="524"/>
      <x:c r="B157" s="524"/>
      <x:c r="C157" s="524"/>
      <x:c r="D157" s="524"/>
      <x:c r="E157" s="551" t="n"/>
      <x:c r="F157" s="551" t="n"/>
      <x:c r="G157" s="524"/>
      <x:c r="H157" s="524"/>
      <x:c r="I157" s="524"/>
      <x:c r="J157" s="524"/>
      <x:c r="K157" s="524"/>
      <x:c r="L157" s="524"/>
    </x:row>
    <x:row r="158">
      <x:c r="A158" s="524"/>
      <x:c r="B158" s="524"/>
      <x:c r="C158" s="524"/>
      <x:c r="D158" s="524"/>
      <x:c r="E158" s="551" t="n"/>
      <x:c r="F158" s="551" t="n"/>
      <x:c r="G158" s="524"/>
      <x:c r="H158" s="524"/>
      <x:c r="I158" s="524"/>
      <x:c r="J158" s="524"/>
      <x:c r="K158" s="524"/>
      <x:c r="L158" s="524"/>
    </x:row>
    <x:row r="159">
      <x:c r="A159" s="524"/>
      <x:c r="B159" s="524"/>
      <x:c r="C159" s="524"/>
      <x:c r="D159" s="524"/>
      <x:c r="E159" s="551" t="n"/>
      <x:c r="F159" s="551" t="n"/>
      <x:c r="G159" s="524"/>
      <x:c r="H159" s="524"/>
      <x:c r="I159" s="524"/>
      <x:c r="J159" s="524"/>
      <x:c r="K159" s="524"/>
      <x:c r="L159" s="524"/>
    </x:row>
    <x:row r="160">
      <x:c r="A160" s="524"/>
      <x:c r="B160" s="524"/>
      <x:c r="C160" s="524"/>
      <x:c r="D160" s="524"/>
      <x:c r="E160" s="551" t="n"/>
      <x:c r="F160" s="551" t="n"/>
      <x:c r="G160" s="524"/>
      <x:c r="H160" s="524"/>
      <x:c r="I160" s="524"/>
      <x:c r="J160" s="524"/>
      <x:c r="K160" s="524"/>
      <x:c r="L160" s="524"/>
    </x:row>
    <x:row r="161">
      <x:c r="A161" s="524"/>
      <x:c r="B161" s="524"/>
      <x:c r="C161" s="524"/>
      <x:c r="D161" s="524"/>
      <x:c r="E161" s="551" t="n"/>
      <x:c r="F161" s="551" t="n"/>
      <x:c r="G161" s="524"/>
      <x:c r="H161" s="524"/>
      <x:c r="I161" s="524"/>
      <x:c r="J161" s="524"/>
      <x:c r="K161" s="524"/>
      <x:c r="L161" s="524"/>
    </x:row>
    <x:row r="162">
      <x:c r="A162" s="524"/>
      <x:c r="B162" s="524"/>
      <x:c r="C162" s="524"/>
      <x:c r="D162" s="524"/>
      <x:c r="E162" s="551" t="n"/>
      <x:c r="F162" s="551" t="n"/>
      <x:c r="G162" s="524"/>
      <x:c r="H162" s="524"/>
      <x:c r="I162" s="524"/>
      <x:c r="J162" s="524"/>
      <x:c r="K162" s="524"/>
      <x:c r="L162" s="524"/>
    </x:row>
    <x:row r="163">
      <x:c r="A163" s="524"/>
      <x:c r="B163" s="524"/>
      <x:c r="C163" s="524"/>
      <x:c r="D163" s="524"/>
      <x:c r="E163" s="551" t="n"/>
      <x:c r="F163" s="551" t="n"/>
      <x:c r="G163" s="524"/>
      <x:c r="H163" s="524"/>
      <x:c r="I163" s="524"/>
      <x:c r="J163" s="524"/>
      <x:c r="K163" s="524"/>
      <x:c r="L163" s="524"/>
    </x:row>
    <x:row r="164">
      <x:c r="A164" s="524"/>
      <x:c r="B164" s="524"/>
      <x:c r="C164" s="524"/>
      <x:c r="D164" s="524"/>
      <x:c r="E164" s="551" t="n"/>
      <x:c r="F164" s="551" t="n"/>
      <x:c r="G164" s="524"/>
      <x:c r="H164" s="524"/>
      <x:c r="I164" s="524"/>
      <x:c r="J164" s="524"/>
      <x:c r="K164" s="524"/>
      <x:c r="L164" s="524"/>
    </x:row>
    <x:row r="165">
      <x:c r="A165" s="524"/>
      <x:c r="B165" s="524"/>
      <x:c r="C165" s="524"/>
      <x:c r="D165" s="524"/>
      <x:c r="E165" s="551" t="n"/>
      <x:c r="F165" s="551" t="n"/>
      <x:c r="G165" s="524"/>
      <x:c r="H165" s="524"/>
      <x:c r="I165" s="524"/>
      <x:c r="J165" s="524"/>
      <x:c r="K165" s="524"/>
      <x:c r="L165" s="524"/>
    </x:row>
    <x:row r="166">
      <x:c r="A166" s="524"/>
      <x:c r="B166" s="524"/>
      <x:c r="C166" s="524"/>
      <x:c r="D166" s="524"/>
      <x:c r="E166" s="551" t="n"/>
      <x:c r="F166" s="551" t="n"/>
      <x:c r="G166" s="524"/>
      <x:c r="H166" s="524"/>
      <x:c r="I166" s="524"/>
      <x:c r="J166" s="524"/>
      <x:c r="K166" s="524"/>
      <x:c r="L166" s="524"/>
    </x:row>
    <x:row r="167">
      <x:c r="A167" s="524"/>
      <x:c r="B167" s="524"/>
      <x:c r="C167" s="524"/>
      <x:c r="D167" s="524"/>
      <x:c r="E167" s="551" t="n"/>
      <x:c r="F167" s="551" t="n"/>
      <x:c r="G167" s="524"/>
      <x:c r="H167" s="524"/>
      <x:c r="I167" s="524"/>
      <x:c r="J167" s="524"/>
      <x:c r="K167" s="524"/>
      <x:c r="L167" s="524"/>
    </x:row>
    <x:row r="168">
      <x:c r="A168" s="524"/>
      <x:c r="B168" s="524"/>
      <x:c r="C168" s="524"/>
      <x:c r="D168" s="524"/>
      <x:c r="E168" s="551" t="n"/>
      <x:c r="F168" s="551" t="n"/>
      <x:c r="G168" s="524"/>
      <x:c r="H168" s="524"/>
      <x:c r="I168" s="524"/>
      <x:c r="J168" s="524"/>
      <x:c r="K168" s="524"/>
      <x:c r="L168" s="524"/>
    </x:row>
    <x:row r="169">
      <x:c r="A169" s="524"/>
      <x:c r="B169" s="524"/>
      <x:c r="C169" s="524"/>
      <x:c r="D169" s="524"/>
      <x:c r="E169" s="551" t="n"/>
      <x:c r="F169" s="551" t="n"/>
      <x:c r="G169" s="524"/>
      <x:c r="H169" s="524"/>
      <x:c r="I169" s="524"/>
      <x:c r="J169" s="524"/>
      <x:c r="K169" s="524"/>
      <x:c r="L169" s="524"/>
    </x:row>
    <x:row r="170">
      <x:c r="A170" s="524"/>
      <x:c r="B170" s="524"/>
      <x:c r="C170" s="524"/>
      <x:c r="D170" s="524"/>
      <x:c r="E170" s="551" t="n"/>
      <x:c r="F170" s="551" t="n"/>
      <x:c r="G170" s="524"/>
      <x:c r="H170" s="524"/>
      <x:c r="I170" s="524"/>
      <x:c r="J170" s="524"/>
      <x:c r="K170" s="524"/>
      <x:c r="L170" s="524"/>
    </x:row>
    <x:row r="171">
      <x:c r="A171" s="524"/>
      <x:c r="B171" s="524"/>
      <x:c r="C171" s="524"/>
      <x:c r="D171" s="524"/>
      <x:c r="E171" s="551" t="n"/>
      <x:c r="F171" s="551" t="n"/>
      <x:c r="G171" s="524"/>
      <x:c r="H171" s="524"/>
      <x:c r="I171" s="524"/>
      <x:c r="J171" s="524"/>
      <x:c r="K171" s="524"/>
      <x:c r="L171" s="524"/>
    </x:row>
    <x:row r="172">
      <x:c r="A172" s="524"/>
      <x:c r="B172" s="524"/>
      <x:c r="C172" s="524"/>
      <x:c r="D172" s="524"/>
      <x:c r="E172" s="551" t="n"/>
      <x:c r="F172" s="551" t="n"/>
      <x:c r="G172" s="524"/>
      <x:c r="H172" s="524"/>
      <x:c r="I172" s="524"/>
      <x:c r="J172" s="524"/>
      <x:c r="K172" s="524"/>
      <x:c r="L172" s="524"/>
    </x:row>
    <x:row r="173">
      <x:c r="A173" s="524"/>
      <x:c r="B173" s="524"/>
      <x:c r="C173" s="524"/>
      <x:c r="D173" s="524"/>
      <x:c r="E173" s="551" t="n"/>
      <x:c r="F173" s="551" t="n"/>
      <x:c r="G173" s="524"/>
      <x:c r="H173" s="524"/>
      <x:c r="I173" s="524"/>
      <x:c r="J173" s="524"/>
      <x:c r="K173" s="524"/>
      <x:c r="L173" s="524"/>
    </x:row>
    <x:row r="174">
      <x:c r="A174" s="524"/>
      <x:c r="B174" s="524"/>
      <x:c r="C174" s="524"/>
      <x:c r="D174" s="524"/>
      <x:c r="E174" s="551" t="n"/>
      <x:c r="F174" s="551" t="n"/>
      <x:c r="G174" s="524"/>
      <x:c r="H174" s="524"/>
      <x:c r="I174" s="524"/>
      <x:c r="J174" s="524"/>
      <x:c r="K174" s="524"/>
      <x:c r="L174" s="524"/>
    </x:row>
    <x:row r="175">
      <x:c r="A175" s="524"/>
      <x:c r="B175" s="524"/>
      <x:c r="C175" s="524"/>
      <x:c r="D175" s="524"/>
      <x:c r="E175" s="551" t="n"/>
      <x:c r="F175" s="551" t="n"/>
      <x:c r="G175" s="524"/>
      <x:c r="H175" s="524"/>
      <x:c r="I175" s="524"/>
      <x:c r="J175" s="524"/>
      <x:c r="K175" s="524"/>
      <x:c r="L175" s="524"/>
    </x:row>
    <x:row r="176">
      <x:c r="A176" s="524"/>
      <x:c r="B176" s="524"/>
      <x:c r="C176" s="524"/>
      <x:c r="D176" s="524"/>
      <x:c r="E176" s="551" t="n"/>
      <x:c r="F176" s="551" t="n"/>
      <x:c r="G176" s="524"/>
      <x:c r="H176" s="524"/>
      <x:c r="I176" s="524"/>
      <x:c r="J176" s="524"/>
      <x:c r="K176" s="524"/>
      <x:c r="L176" s="524"/>
    </x:row>
    <x:row r="177">
      <x:c r="A177" s="524"/>
      <x:c r="B177" s="524"/>
      <x:c r="C177" s="524"/>
      <x:c r="D177" s="524"/>
      <x:c r="E177" s="551" t="n"/>
      <x:c r="F177" s="551" t="n"/>
      <x:c r="G177" s="524"/>
      <x:c r="H177" s="524"/>
      <x:c r="I177" s="524"/>
      <x:c r="J177" s="524"/>
      <x:c r="K177" s="524"/>
      <x:c r="L177" s="524"/>
    </x:row>
    <x:row r="178">
      <x:c r="A178" s="524"/>
      <x:c r="B178" s="524"/>
      <x:c r="C178" s="524"/>
      <x:c r="D178" s="524"/>
      <x:c r="E178" s="551" t="n"/>
      <x:c r="F178" s="551" t="n"/>
      <x:c r="G178" s="524"/>
      <x:c r="H178" s="524"/>
      <x:c r="I178" s="524"/>
      <x:c r="J178" s="524"/>
      <x:c r="K178" s="524"/>
      <x:c r="L178" s="524"/>
    </x:row>
    <x:row r="179">
      <x:c r="A179" s="524"/>
      <x:c r="B179" s="524"/>
      <x:c r="C179" s="524"/>
      <x:c r="D179" s="524"/>
      <x:c r="E179" s="551" t="n"/>
      <x:c r="F179" s="551" t="n"/>
      <x:c r="G179" s="524"/>
      <x:c r="H179" s="524"/>
      <x:c r="I179" s="524"/>
      <x:c r="J179" s="524"/>
      <x:c r="K179" s="524"/>
      <x:c r="L179" s="524"/>
    </x:row>
    <x:row r="180">
      <x:c r="A180" s="524"/>
      <x:c r="B180" s="524"/>
      <x:c r="C180" s="524"/>
      <x:c r="D180" s="524"/>
      <x:c r="E180" s="551" t="n"/>
      <x:c r="F180" s="551" t="n"/>
      <x:c r="G180" s="524"/>
      <x:c r="H180" s="524"/>
      <x:c r="I180" s="524"/>
      <x:c r="J180" s="524"/>
      <x:c r="K180" s="524"/>
      <x:c r="L180" s="524"/>
    </x:row>
    <x:row r="181">
      <x:c r="A181" s="524"/>
      <x:c r="B181" s="524"/>
      <x:c r="C181" s="524"/>
      <x:c r="D181" s="524"/>
      <x:c r="E181" s="551" t="n"/>
      <x:c r="F181" s="551" t="n"/>
      <x:c r="G181" s="524"/>
      <x:c r="H181" s="524"/>
      <x:c r="I181" s="524"/>
      <x:c r="J181" s="524"/>
      <x:c r="K181" s="524"/>
      <x:c r="L181" s="524"/>
    </x:row>
    <x:row r="182">
      <x:c r="A182" s="524"/>
      <x:c r="B182" s="524"/>
      <x:c r="C182" s="524"/>
      <x:c r="D182" s="524"/>
      <x:c r="E182" s="551" t="n"/>
      <x:c r="F182" s="551" t="n"/>
      <x:c r="G182" s="524"/>
      <x:c r="H182" s="524"/>
      <x:c r="I182" s="524"/>
      <x:c r="J182" s="524"/>
      <x:c r="K182" s="524"/>
      <x:c r="L182" s="524"/>
    </x:row>
    <x:row r="183">
      <x:c r="A183" s="524"/>
      <x:c r="B183" s="524"/>
      <x:c r="C183" s="524"/>
      <x:c r="D183" s="524"/>
      <x:c r="E183" s="551" t="n"/>
      <x:c r="F183" s="551" t="n"/>
      <x:c r="G183" s="524"/>
      <x:c r="H183" s="524"/>
      <x:c r="I183" s="524"/>
      <x:c r="J183" s="524"/>
      <x:c r="K183" s="524"/>
      <x:c r="L183" s="524"/>
    </x:row>
    <x:row r="184">
      <x:c r="A184" s="524"/>
      <x:c r="B184" s="524"/>
      <x:c r="C184" s="524"/>
      <x:c r="D184" s="524"/>
      <x:c r="E184" s="551" t="n"/>
      <x:c r="F184" s="551" t="n"/>
      <x:c r="G184" s="524"/>
      <x:c r="H184" s="524"/>
      <x:c r="I184" s="524"/>
      <x:c r="J184" s="524"/>
      <x:c r="K184" s="524"/>
      <x:c r="L184" s="524"/>
    </x:row>
    <x:row r="185">
      <x:c r="A185" s="524"/>
      <x:c r="B185" s="524"/>
      <x:c r="C185" s="524"/>
      <x:c r="D185" s="524"/>
      <x:c r="E185" s="551" t="n"/>
      <x:c r="F185" s="551" t="n"/>
      <x:c r="G185" s="524"/>
      <x:c r="H185" s="524"/>
      <x:c r="I185" s="524"/>
      <x:c r="J185" s="524"/>
      <x:c r="K185" s="524"/>
      <x:c r="L185" s="524"/>
    </x:row>
    <x:row r="186">
      <x:c r="A186" s="524"/>
      <x:c r="B186" s="524"/>
      <x:c r="C186" s="524"/>
      <x:c r="D186" s="524"/>
      <x:c r="E186" s="551" t="n"/>
      <x:c r="F186" s="551" t="n"/>
      <x:c r="G186" s="524"/>
      <x:c r="H186" s="524"/>
      <x:c r="I186" s="524"/>
      <x:c r="J186" s="524"/>
      <x:c r="K186" s="524"/>
      <x:c r="L186" s="524"/>
    </x:row>
    <x:row r="187">
      <x:c r="A187" s="524"/>
      <x:c r="B187" s="524"/>
      <x:c r="C187" s="524"/>
      <x:c r="D187" s="524"/>
      <x:c r="E187" s="551" t="n"/>
      <x:c r="F187" s="551" t="n"/>
      <x:c r="G187" s="524"/>
      <x:c r="H187" s="524"/>
      <x:c r="I187" s="524"/>
      <x:c r="J187" s="524"/>
      <x:c r="K187" s="524"/>
      <x:c r="L187" s="524"/>
    </x:row>
    <x:row r="188">
      <x:c r="A188" s="524"/>
      <x:c r="B188" s="524"/>
      <x:c r="C188" s="524"/>
      <x:c r="D188" s="524"/>
      <x:c r="E188" s="551" t="n"/>
      <x:c r="F188" s="551" t="n"/>
      <x:c r="G188" s="524"/>
      <x:c r="H188" s="524"/>
      <x:c r="I188" s="524"/>
      <x:c r="J188" s="524"/>
      <x:c r="K188" s="524"/>
      <x:c r="L188" s="524"/>
    </x:row>
    <x:row r="189">
      <x:c r="A189" s="524"/>
      <x:c r="B189" s="524"/>
      <x:c r="C189" s="524"/>
      <x:c r="D189" s="524"/>
      <x:c r="E189" s="551" t="n"/>
      <x:c r="F189" s="551" t="n"/>
      <x:c r="G189" s="524"/>
      <x:c r="H189" s="524"/>
      <x:c r="I189" s="524"/>
      <x:c r="J189" s="524"/>
      <x:c r="K189" s="524"/>
      <x:c r="L189" s="524"/>
    </x:row>
    <x:row r="190">
      <x:c r="A190" s="524"/>
      <x:c r="B190" s="524"/>
      <x:c r="C190" s="524"/>
      <x:c r="D190" s="524"/>
      <x:c r="E190" s="551" t="n"/>
      <x:c r="F190" s="551" t="n"/>
      <x:c r="G190" s="524"/>
      <x:c r="H190" s="524"/>
      <x:c r="I190" s="524"/>
      <x:c r="J190" s="524"/>
      <x:c r="K190" s="524"/>
      <x:c r="L190" s="524"/>
    </x:row>
    <x:row r="191">
      <x:c r="A191" s="524"/>
      <x:c r="B191" s="524"/>
      <x:c r="C191" s="524"/>
      <x:c r="D191" s="524"/>
      <x:c r="E191" s="551" t="n"/>
      <x:c r="F191" s="551" t="n"/>
      <x:c r="G191" s="524"/>
      <x:c r="H191" s="524"/>
      <x:c r="I191" s="524"/>
      <x:c r="J191" s="524"/>
      <x:c r="K191" s="524"/>
      <x:c r="L191" s="524"/>
    </x:row>
    <x:row r="192">
      <x:c r="A192" s="524"/>
      <x:c r="B192" s="524"/>
      <x:c r="C192" s="524"/>
      <x:c r="D192" s="524"/>
      <x:c r="E192" s="551" t="n"/>
      <x:c r="F192" s="551" t="n"/>
      <x:c r="G192" s="524"/>
      <x:c r="H192" s="524"/>
      <x:c r="I192" s="524"/>
      <x:c r="J192" s="524"/>
      <x:c r="K192" s="524"/>
      <x:c r="L192" s="524"/>
    </x:row>
    <x:row r="193">
      <x:c r="A193" s="524"/>
      <x:c r="B193" s="524"/>
      <x:c r="C193" s="524"/>
      <x:c r="D193" s="524"/>
      <x:c r="E193" s="551" t="n"/>
      <x:c r="F193" s="551" t="n"/>
      <x:c r="G193" s="524"/>
      <x:c r="H193" s="524"/>
      <x:c r="I193" s="524"/>
      <x:c r="J193" s="524"/>
      <x:c r="K193" s="524"/>
      <x:c r="L193" s="524"/>
    </x:row>
    <x:row r="194">
      <x:c r="A194" s="524"/>
      <x:c r="B194" s="524"/>
      <x:c r="C194" s="524"/>
      <x:c r="D194" s="524"/>
      <x:c r="E194" s="551" t="n"/>
      <x:c r="F194" s="551" t="n"/>
      <x:c r="G194" s="524"/>
      <x:c r="H194" s="524"/>
      <x:c r="I194" s="524"/>
      <x:c r="J194" s="524"/>
      <x:c r="K194" s="524"/>
      <x:c r="L194" s="524"/>
    </x:row>
    <x:row r="195">
      <x:c r="A195" s="524"/>
      <x:c r="B195" s="524"/>
      <x:c r="C195" s="524"/>
      <x:c r="D195" s="524"/>
      <x:c r="E195" s="551" t="n"/>
      <x:c r="F195" s="551" t="n"/>
      <x:c r="G195" s="524"/>
      <x:c r="H195" s="524"/>
      <x:c r="I195" s="524"/>
      <x:c r="J195" s="524"/>
      <x:c r="K195" s="524"/>
      <x:c r="L195" s="524"/>
    </x:row>
    <x:row r="196">
      <x:c r="A196" s="524"/>
      <x:c r="B196" s="524"/>
      <x:c r="C196" s="524"/>
      <x:c r="D196" s="524"/>
      <x:c r="E196" s="551" t="n"/>
      <x:c r="F196" s="551" t="n"/>
      <x:c r="G196" s="524"/>
      <x:c r="H196" s="524"/>
      <x:c r="I196" s="524"/>
      <x:c r="J196" s="524"/>
      <x:c r="K196" s="524"/>
      <x:c r="L196" s="524"/>
    </x:row>
    <x:row r="197">
      <x:c r="A197" s="524"/>
      <x:c r="B197" s="524"/>
      <x:c r="C197" s="524"/>
      <x:c r="D197" s="524"/>
      <x:c r="E197" s="551" t="n"/>
      <x:c r="F197" s="551" t="n"/>
      <x:c r="G197" s="524"/>
      <x:c r="H197" s="524"/>
      <x:c r="I197" s="524"/>
      <x:c r="J197" s="524"/>
      <x:c r="K197" s="524"/>
      <x:c r="L197" s="524"/>
    </x:row>
    <x:row r="198">
      <x:c r="A198" s="524"/>
      <x:c r="B198" s="524"/>
      <x:c r="C198" s="524"/>
      <x:c r="D198" s="524"/>
      <x:c r="E198" s="551" t="n"/>
      <x:c r="F198" s="551" t="n"/>
      <x:c r="G198" s="524"/>
      <x:c r="H198" s="524"/>
      <x:c r="I198" s="524"/>
      <x:c r="J198" s="524"/>
      <x:c r="K198" s="524"/>
      <x:c r="L198" s="524"/>
    </x:row>
    <x:row r="199">
      <x:c r="A199" s="524"/>
      <x:c r="B199" s="524"/>
      <x:c r="C199" s="524"/>
      <x:c r="D199" s="524"/>
      <x:c r="E199" s="551" t="n"/>
      <x:c r="F199" s="551" t="n"/>
      <x:c r="G199" s="524"/>
      <x:c r="H199" s="524"/>
      <x:c r="I199" s="524"/>
      <x:c r="J199" s="524"/>
      <x:c r="K199" s="524"/>
      <x:c r="L199" s="524"/>
    </x:row>
    <x:row r="200">
      <x:c r="A200" s="524"/>
      <x:c r="B200" s="524"/>
      <x:c r="C200" s="524"/>
      <x:c r="D200" s="524"/>
      <x:c r="E200" s="551" t="n"/>
      <x:c r="F200" s="551" t="n"/>
      <x:c r="G200" s="524"/>
      <x:c r="H200" s="524"/>
      <x:c r="I200" s="524"/>
      <x:c r="J200" s="524"/>
      <x:c r="K200" s="524"/>
      <x:c r="L200" s="524"/>
    </x:row>
    <x:row r="201">
      <x:c r="A201" s="524"/>
      <x:c r="B201" s="524"/>
      <x:c r="C201" s="524"/>
      <x:c r="D201" s="524"/>
      <x:c r="E201" s="551" t="n"/>
      <x:c r="F201" s="551" t="n"/>
      <x:c r="G201" s="524"/>
      <x:c r="H201" s="524"/>
      <x:c r="I201" s="524"/>
      <x:c r="J201" s="524"/>
      <x:c r="K201" s="524"/>
      <x:c r="L201" s="524"/>
    </x:row>
    <x:row r="202">
      <x:c r="A202" s="524"/>
      <x:c r="B202" s="524"/>
      <x:c r="C202" s="524"/>
      <x:c r="D202" s="524"/>
      <x:c r="E202" s="551" t="n"/>
      <x:c r="F202" s="551" t="n"/>
      <x:c r="G202" s="524"/>
      <x:c r="H202" s="524"/>
      <x:c r="I202" s="524"/>
      <x:c r="J202" s="524"/>
      <x:c r="K202" s="524"/>
      <x:c r="L202" s="524"/>
    </x:row>
    <x:row r="203">
      <x:c r="A203" s="524"/>
      <x:c r="B203" s="524"/>
      <x:c r="C203" s="524"/>
      <x:c r="D203" s="524"/>
      <x:c r="E203" s="551" t="n"/>
      <x:c r="F203" s="551" t="n"/>
      <x:c r="G203" s="524"/>
      <x:c r="H203" s="524"/>
      <x:c r="I203" s="524"/>
      <x:c r="J203" s="524"/>
      <x:c r="K203" s="524"/>
      <x:c r="L203" s="524"/>
    </x:row>
    <x:row r="204">
      <x:c r="A204" s="524"/>
      <x:c r="B204" s="524"/>
      <x:c r="C204" s="524"/>
      <x:c r="D204" s="524"/>
      <x:c r="E204" s="551" t="n"/>
      <x:c r="F204" s="551" t="n"/>
      <x:c r="G204" s="524"/>
      <x:c r="H204" s="524"/>
      <x:c r="I204" s="524"/>
      <x:c r="J204" s="524"/>
      <x:c r="K204" s="524"/>
      <x:c r="L204" s="524"/>
    </x:row>
    <x:row r="205">
      <x:c r="A205" s="524"/>
      <x:c r="B205" s="524"/>
      <x:c r="C205" s="524"/>
      <x:c r="D205" s="524"/>
      <x:c r="E205" s="551" t="n"/>
      <x:c r="F205" s="551" t="n"/>
      <x:c r="G205" s="524"/>
      <x:c r="H205" s="524"/>
      <x:c r="I205" s="524"/>
      <x:c r="J205" s="524"/>
      <x:c r="K205" s="524"/>
      <x:c r="L205" s="524"/>
    </x:row>
    <x:row r="206">
      <x:c r="A206" s="524"/>
      <x:c r="B206" s="524"/>
      <x:c r="C206" s="524"/>
      <x:c r="D206" s="524"/>
      <x:c r="E206" s="551" t="n"/>
      <x:c r="F206" s="551" t="n"/>
      <x:c r="G206" s="524"/>
      <x:c r="H206" s="524"/>
      <x:c r="I206" s="524"/>
      <x:c r="J206" s="524"/>
      <x:c r="K206" s="524"/>
      <x:c r="L206" s="524"/>
    </x:row>
    <x:row r="207">
      <x:c r="A207" s="524"/>
      <x:c r="B207" s="524"/>
      <x:c r="C207" s="524"/>
      <x:c r="D207" s="524"/>
      <x:c r="E207" s="551" t="n"/>
      <x:c r="F207" s="551" t="n"/>
      <x:c r="G207" s="524"/>
      <x:c r="H207" s="524"/>
      <x:c r="I207" s="524"/>
      <x:c r="J207" s="524"/>
      <x:c r="K207" s="524"/>
      <x:c r="L207" s="524"/>
    </x:row>
    <x:row r="208">
      <x:c r="A208" s="524"/>
      <x:c r="B208" s="524"/>
      <x:c r="C208" s="524"/>
      <x:c r="D208" s="524"/>
      <x:c r="E208" s="551" t="n"/>
      <x:c r="F208" s="551" t="n"/>
      <x:c r="G208" s="524"/>
      <x:c r="H208" s="524"/>
      <x:c r="I208" s="524"/>
      <x:c r="J208" s="524"/>
      <x:c r="K208" s="524"/>
      <x:c r="L208" s="524"/>
    </x:row>
    <x:row r="209">
      <x:c r="A209" s="524"/>
      <x:c r="B209" s="524"/>
      <x:c r="C209" s="524"/>
      <x:c r="D209" s="524"/>
      <x:c r="E209" s="551" t="n"/>
      <x:c r="F209" s="551" t="n"/>
      <x:c r="G209" s="524"/>
      <x:c r="H209" s="524"/>
      <x:c r="I209" s="524"/>
      <x:c r="J209" s="524"/>
      <x:c r="K209" s="524"/>
      <x:c r="L209" s="524"/>
    </x:row>
    <x:row r="210">
      <x:c r="A210" s="524"/>
      <x:c r="B210" s="524"/>
      <x:c r="C210" s="524"/>
      <x:c r="D210" s="524"/>
      <x:c r="E210" s="551" t="n"/>
      <x:c r="F210" s="551" t="n"/>
      <x:c r="G210" s="524"/>
      <x:c r="H210" s="524"/>
      <x:c r="I210" s="524"/>
      <x:c r="J210" s="524"/>
      <x:c r="K210" s="524"/>
      <x:c r="L210" s="524"/>
    </x:row>
    <x:row r="211">
      <x:c r="A211" s="524"/>
      <x:c r="B211" s="524"/>
      <x:c r="C211" s="524"/>
      <x:c r="D211" s="524"/>
      <x:c r="E211" s="551" t="n"/>
      <x:c r="F211" s="551" t="n"/>
      <x:c r="G211" s="524"/>
      <x:c r="H211" s="524"/>
      <x:c r="I211" s="524"/>
      <x:c r="J211" s="524"/>
      <x:c r="K211" s="524"/>
      <x:c r="L211" s="524"/>
    </x:row>
    <x:row r="212">
      <x:c r="A212" s="524"/>
      <x:c r="B212" s="524"/>
      <x:c r="C212" s="524"/>
      <x:c r="D212" s="524"/>
      <x:c r="E212" s="551" t="n"/>
      <x:c r="F212" s="551" t="n"/>
      <x:c r="G212" s="524"/>
      <x:c r="H212" s="524"/>
      <x:c r="I212" s="524"/>
      <x:c r="J212" s="524"/>
      <x:c r="K212" s="524"/>
      <x:c r="L212" s="524"/>
    </x:row>
    <x:row r="213">
      <x:c r="A213" s="524"/>
      <x:c r="B213" s="524"/>
      <x:c r="C213" s="524"/>
      <x:c r="D213" s="524"/>
      <x:c r="E213" s="551" t="n"/>
      <x:c r="F213" s="551" t="n"/>
      <x:c r="G213" s="524"/>
      <x:c r="H213" s="524"/>
      <x:c r="I213" s="524"/>
      <x:c r="J213" s="524"/>
      <x:c r="K213" s="524"/>
      <x:c r="L213" s="524"/>
    </x:row>
    <x:row r="214">
      <x:c r="A214" s="524"/>
      <x:c r="B214" s="524"/>
      <x:c r="C214" s="524"/>
      <x:c r="D214" s="524"/>
      <x:c r="E214" s="551" t="n"/>
      <x:c r="F214" s="551" t="n"/>
      <x:c r="G214" s="524"/>
      <x:c r="H214" s="524"/>
      <x:c r="I214" s="524"/>
      <x:c r="J214" s="524"/>
      <x:c r="K214" s="524"/>
      <x:c r="L214" s="524"/>
    </x:row>
    <x:row r="215">
      <x:c r="A215" s="524"/>
      <x:c r="B215" s="524"/>
      <x:c r="C215" s="524"/>
      <x:c r="D215" s="524"/>
      <x:c r="E215" s="551" t="n"/>
      <x:c r="F215" s="551" t="n"/>
      <x:c r="G215" s="524"/>
      <x:c r="H215" s="524"/>
      <x:c r="I215" s="524"/>
      <x:c r="J215" s="524"/>
      <x:c r="K215" s="524"/>
      <x:c r="L215" s="524"/>
    </x:row>
    <x:row r="216">
      <x:c r="A216" s="524"/>
      <x:c r="B216" s="524"/>
      <x:c r="C216" s="524"/>
      <x:c r="D216" s="524"/>
      <x:c r="E216" s="551" t="n"/>
      <x:c r="F216" s="551" t="n"/>
      <x:c r="G216" s="524"/>
      <x:c r="H216" s="524"/>
      <x:c r="I216" s="524"/>
      <x:c r="J216" s="524"/>
      <x:c r="K216" s="524"/>
      <x:c r="L216" s="524"/>
    </x:row>
    <x:row r="217">
      <x:c r="A217" s="524"/>
      <x:c r="B217" s="524"/>
      <x:c r="C217" s="524"/>
      <x:c r="D217" s="524"/>
      <x:c r="E217" s="551" t="n"/>
      <x:c r="F217" s="551" t="n"/>
      <x:c r="G217" s="524"/>
      <x:c r="H217" s="524"/>
      <x:c r="I217" s="524"/>
      <x:c r="J217" s="524"/>
      <x:c r="K217" s="524"/>
      <x:c r="L217" s="524"/>
    </x:row>
    <x:row r="218">
      <x:c r="A218" s="524"/>
      <x:c r="B218" s="524"/>
      <x:c r="C218" s="524"/>
      <x:c r="D218" s="524"/>
      <x:c r="E218" s="551" t="n"/>
      <x:c r="F218" s="551" t="n"/>
      <x:c r="G218" s="524"/>
      <x:c r="H218" s="524"/>
      <x:c r="I218" s="524"/>
      <x:c r="J218" s="524"/>
      <x:c r="K218" s="524"/>
      <x:c r="L218" s="524"/>
    </x:row>
    <x:row r="219">
      <x:c r="A219" s="524"/>
      <x:c r="B219" s="524"/>
      <x:c r="C219" s="524"/>
      <x:c r="D219" s="524"/>
      <x:c r="E219" s="551" t="n"/>
      <x:c r="F219" s="551" t="n"/>
      <x:c r="G219" s="524"/>
      <x:c r="H219" s="524"/>
      <x:c r="I219" s="524"/>
      <x:c r="J219" s="524"/>
      <x:c r="K219" s="524"/>
      <x:c r="L219" s="524"/>
    </x:row>
    <x:row r="220">
      <x:c r="A220" s="524"/>
      <x:c r="B220" s="524"/>
      <x:c r="C220" s="524"/>
      <x:c r="D220" s="524"/>
      <x:c r="E220" s="551" t="n"/>
      <x:c r="F220" s="551" t="n"/>
      <x:c r="G220" s="524"/>
      <x:c r="H220" s="524"/>
      <x:c r="I220" s="524"/>
      <x:c r="J220" s="524"/>
      <x:c r="K220" s="524"/>
      <x:c r="L220" s="524"/>
    </x:row>
    <x:row r="221">
      <x:c r="A221" s="524"/>
      <x:c r="B221" s="524"/>
      <x:c r="C221" s="524"/>
      <x:c r="D221" s="524"/>
      <x:c r="E221" s="551" t="n"/>
      <x:c r="F221" s="551" t="n"/>
      <x:c r="G221" s="524"/>
      <x:c r="H221" s="524"/>
      <x:c r="I221" s="524"/>
      <x:c r="J221" s="524"/>
      <x:c r="K221" s="524"/>
      <x:c r="L221" s="524"/>
    </x:row>
    <x:row r="222">
      <x:c r="A222" s="524"/>
      <x:c r="B222" s="524"/>
      <x:c r="C222" s="524"/>
      <x:c r="D222" s="524"/>
      <x:c r="E222" s="551" t="n"/>
      <x:c r="F222" s="551" t="n"/>
      <x:c r="G222" s="524"/>
      <x:c r="H222" s="524"/>
      <x:c r="I222" s="524"/>
      <x:c r="J222" s="524"/>
      <x:c r="K222" s="524"/>
      <x:c r="L222" s="524"/>
    </x:row>
    <x:row r="223">
      <x:c r="A223" s="524"/>
      <x:c r="B223" s="524"/>
      <x:c r="C223" s="524"/>
      <x:c r="D223" s="524"/>
      <x:c r="E223" s="551" t="n"/>
      <x:c r="F223" s="551" t="n"/>
      <x:c r="G223" s="524"/>
      <x:c r="H223" s="524"/>
      <x:c r="I223" s="524"/>
      <x:c r="J223" s="524"/>
      <x:c r="K223" s="524"/>
      <x:c r="L223" s="524"/>
    </x:row>
    <x:row r="224">
      <x:c r="A224" s="524"/>
      <x:c r="B224" s="524"/>
      <x:c r="C224" s="524"/>
      <x:c r="D224" s="524"/>
      <x:c r="E224" s="551" t="n"/>
      <x:c r="F224" s="551" t="n"/>
      <x:c r="G224" s="524"/>
      <x:c r="H224" s="524"/>
      <x:c r="I224" s="524"/>
      <x:c r="J224" s="524"/>
      <x:c r="K224" s="524"/>
      <x:c r="L224" s="524"/>
    </x:row>
    <x:row r="225">
      <x:c r="A225" s="524"/>
      <x:c r="B225" s="524"/>
      <x:c r="C225" s="524"/>
      <x:c r="D225" s="524"/>
      <x:c r="E225" s="551" t="n"/>
      <x:c r="F225" s="551" t="n"/>
      <x:c r="G225" s="524"/>
      <x:c r="H225" s="524"/>
      <x:c r="I225" s="524"/>
      <x:c r="J225" s="524"/>
      <x:c r="K225" s="524"/>
      <x:c r="L225" s="524"/>
    </x:row>
    <x:row r="226">
      <x:c r="A226" s="524"/>
      <x:c r="B226" s="524"/>
      <x:c r="C226" s="524"/>
      <x:c r="D226" s="524"/>
      <x:c r="E226" s="551" t="n"/>
      <x:c r="F226" s="551" t="n"/>
      <x:c r="G226" s="524"/>
      <x:c r="H226" s="524"/>
      <x:c r="I226" s="524"/>
      <x:c r="J226" s="524"/>
      <x:c r="K226" s="524"/>
      <x:c r="L226" s="524"/>
    </x:row>
    <x:row r="227">
      <x:c r="A227" s="524"/>
      <x:c r="B227" s="524"/>
      <x:c r="C227" s="524"/>
      <x:c r="D227" s="524"/>
      <x:c r="E227" s="551" t="n"/>
      <x:c r="F227" s="551" t="n"/>
      <x:c r="G227" s="524"/>
      <x:c r="H227" s="524"/>
      <x:c r="I227" s="524"/>
      <x:c r="J227" s="524"/>
      <x:c r="K227" s="524"/>
      <x:c r="L227" s="524"/>
    </x:row>
    <x:row r="228">
      <x:c r="A228" s="524"/>
      <x:c r="B228" s="524"/>
      <x:c r="C228" s="524"/>
      <x:c r="D228" s="524"/>
      <x:c r="E228" s="551" t="n"/>
      <x:c r="F228" s="551" t="n"/>
      <x:c r="G228" s="524"/>
      <x:c r="H228" s="524"/>
      <x:c r="I228" s="524"/>
      <x:c r="J228" s="524"/>
      <x:c r="K228" s="524"/>
      <x:c r="L228" s="524"/>
    </x:row>
    <x:row r="229">
      <x:c r="A229" s="524"/>
      <x:c r="B229" s="524"/>
      <x:c r="C229" s="524"/>
      <x:c r="D229" s="524"/>
      <x:c r="E229" s="551" t="n"/>
      <x:c r="F229" s="551" t="n"/>
      <x:c r="G229" s="524"/>
      <x:c r="H229" s="524"/>
      <x:c r="I229" s="524"/>
      <x:c r="J229" s="524"/>
      <x:c r="K229" s="524"/>
      <x:c r="L229" s="524"/>
    </x:row>
    <x:row r="230">
      <x:c r="A230" s="524"/>
      <x:c r="B230" s="524"/>
      <x:c r="C230" s="524"/>
      <x:c r="D230" s="524"/>
      <x:c r="E230" s="551" t="n"/>
      <x:c r="F230" s="551" t="n"/>
      <x:c r="G230" s="524"/>
      <x:c r="H230" s="524"/>
      <x:c r="I230" s="524"/>
      <x:c r="J230" s="524"/>
      <x:c r="K230" s="524"/>
      <x:c r="L230" s="524"/>
    </x:row>
    <x:row r="231">
      <x:c r="A231" s="524"/>
      <x:c r="B231" s="524"/>
      <x:c r="C231" s="524"/>
      <x:c r="D231" s="524"/>
      <x:c r="E231" s="551" t="n"/>
      <x:c r="F231" s="551" t="n"/>
      <x:c r="G231" s="524"/>
      <x:c r="H231" s="524"/>
      <x:c r="I231" s="524"/>
      <x:c r="J231" s="524"/>
      <x:c r="K231" s="524"/>
      <x:c r="L231" s="524"/>
    </x:row>
    <x:row r="232">
      <x:c r="A232" s="524"/>
      <x:c r="B232" s="524"/>
      <x:c r="C232" s="524"/>
      <x:c r="D232" s="524"/>
      <x:c r="E232" s="551" t="n"/>
      <x:c r="F232" s="551" t="n"/>
      <x:c r="G232" s="524"/>
      <x:c r="H232" s="524"/>
      <x:c r="I232" s="524"/>
      <x:c r="J232" s="524"/>
      <x:c r="K232" s="524"/>
      <x:c r="L232" s="524"/>
    </x:row>
    <x:row r="233">
      <x:c r="A233" s="524"/>
      <x:c r="B233" s="524"/>
      <x:c r="C233" s="524"/>
      <x:c r="D233" s="524"/>
      <x:c r="E233" s="551" t="n"/>
      <x:c r="F233" s="551" t="n"/>
      <x:c r="G233" s="524"/>
      <x:c r="H233" s="524"/>
      <x:c r="I233" s="524"/>
      <x:c r="J233" s="524"/>
      <x:c r="K233" s="524"/>
      <x:c r="L233" s="524"/>
    </x:row>
    <x:row r="234">
      <x:c r="A234" s="524"/>
      <x:c r="B234" s="524"/>
      <x:c r="C234" s="524"/>
      <x:c r="D234" s="524"/>
      <x:c r="E234" s="551" t="n"/>
      <x:c r="F234" s="551" t="n"/>
      <x:c r="G234" s="524"/>
      <x:c r="H234" s="524"/>
      <x:c r="I234" s="524"/>
      <x:c r="J234" s="524"/>
      <x:c r="K234" s="524"/>
      <x:c r="L234" s="524"/>
    </x:row>
    <x:row r="235">
      <x:c r="A235" s="524"/>
      <x:c r="B235" s="524"/>
      <x:c r="C235" s="524"/>
      <x:c r="D235" s="524"/>
      <x:c r="E235" s="551" t="n"/>
      <x:c r="F235" s="551" t="n"/>
      <x:c r="G235" s="524"/>
      <x:c r="H235" s="524"/>
      <x:c r="I235" s="524"/>
      <x:c r="J235" s="524"/>
      <x:c r="K235" s="524"/>
      <x:c r="L235" s="524"/>
    </x:row>
    <x:row r="236">
      <x:c r="A236" s="524"/>
      <x:c r="B236" s="524"/>
      <x:c r="C236" s="524"/>
      <x:c r="D236" s="524"/>
      <x:c r="E236" s="551" t="n"/>
      <x:c r="F236" s="551" t="n"/>
      <x:c r="G236" s="524"/>
      <x:c r="H236" s="524"/>
      <x:c r="I236" s="524"/>
      <x:c r="J236" s="524"/>
      <x:c r="K236" s="524"/>
      <x:c r="L236" s="524"/>
    </x:row>
    <x:row r="237">
      <x:c r="A237" s="524"/>
      <x:c r="B237" s="524"/>
      <x:c r="C237" s="524"/>
      <x:c r="D237" s="524"/>
      <x:c r="E237" s="551" t="n"/>
      <x:c r="F237" s="551" t="n"/>
      <x:c r="G237" s="524"/>
      <x:c r="H237" s="524"/>
      <x:c r="I237" s="524"/>
      <x:c r="J237" s="524"/>
      <x:c r="K237" s="524"/>
      <x:c r="L237" s="524"/>
    </x:row>
    <x:row r="238">
      <x:c r="A238" s="524"/>
      <x:c r="B238" s="524"/>
      <x:c r="C238" s="524"/>
      <x:c r="D238" s="524"/>
      <x:c r="E238" s="551" t="n"/>
      <x:c r="F238" s="551" t="n"/>
      <x:c r="G238" s="524"/>
      <x:c r="H238" s="524"/>
      <x:c r="I238" s="524"/>
      <x:c r="J238" s="524"/>
      <x:c r="K238" s="524"/>
      <x:c r="L238" s="524"/>
    </x:row>
    <x:row r="239">
      <x:c r="A239" s="524"/>
      <x:c r="B239" s="524"/>
      <x:c r="C239" s="524"/>
      <x:c r="D239" s="524"/>
      <x:c r="E239" s="551" t="n"/>
      <x:c r="F239" s="551" t="n"/>
      <x:c r="G239" s="524"/>
      <x:c r="H239" s="524"/>
      <x:c r="I239" s="524"/>
      <x:c r="J239" s="524"/>
      <x:c r="K239" s="524"/>
      <x:c r="L239" s="524"/>
    </x:row>
    <x:row r="240">
      <x:c r="A240" s="524"/>
      <x:c r="B240" s="524"/>
      <x:c r="C240" s="524"/>
      <x:c r="D240" s="524"/>
      <x:c r="E240" s="551" t="n"/>
      <x:c r="F240" s="551" t="n"/>
      <x:c r="G240" s="524"/>
      <x:c r="H240" s="524"/>
      <x:c r="I240" s="524"/>
      <x:c r="J240" s="524"/>
      <x:c r="K240" s="524"/>
      <x:c r="L240" s="524"/>
    </x:row>
    <x:row r="241">
      <x:c r="A241" s="524"/>
      <x:c r="B241" s="524"/>
      <x:c r="C241" s="524"/>
      <x:c r="D241" s="524"/>
      <x:c r="E241" s="551" t="n"/>
      <x:c r="F241" s="551" t="n"/>
      <x:c r="G241" s="524"/>
      <x:c r="H241" s="524"/>
      <x:c r="I241" s="524"/>
      <x:c r="J241" s="524"/>
      <x:c r="K241" s="524"/>
      <x:c r="L241" s="524"/>
    </x:row>
    <x:row r="242">
      <x:c r="A242" s="524"/>
      <x:c r="B242" s="524"/>
      <x:c r="C242" s="524"/>
      <x:c r="D242" s="524"/>
      <x:c r="E242" s="551" t="n"/>
      <x:c r="F242" s="551" t="n"/>
      <x:c r="G242" s="524"/>
      <x:c r="H242" s="524"/>
      <x:c r="I242" s="524"/>
      <x:c r="J242" s="524"/>
      <x:c r="K242" s="524"/>
      <x:c r="L242" s="524"/>
    </x:row>
    <x:row r="243">
      <x:c r="A243" s="524"/>
      <x:c r="B243" s="524"/>
      <x:c r="C243" s="524"/>
      <x:c r="D243" s="524"/>
      <x:c r="E243" s="551" t="n"/>
      <x:c r="F243" s="551" t="n"/>
      <x:c r="G243" s="524"/>
      <x:c r="H243" s="524"/>
      <x:c r="I243" s="524"/>
      <x:c r="J243" s="524"/>
      <x:c r="K243" s="524"/>
      <x:c r="L243" s="524"/>
    </x:row>
    <x:row r="244">
      <x:c r="A244" s="524"/>
      <x:c r="B244" s="524"/>
      <x:c r="C244" s="524"/>
      <x:c r="D244" s="524"/>
      <x:c r="E244" s="551" t="n"/>
      <x:c r="F244" s="551" t="n"/>
      <x:c r="G244" s="524"/>
      <x:c r="H244" s="524"/>
      <x:c r="I244" s="524"/>
      <x:c r="J244" s="524"/>
      <x:c r="K244" s="524"/>
      <x:c r="L244" s="524"/>
    </x:row>
    <x:row r="245">
      <x:c r="A245" s="524"/>
      <x:c r="B245" s="524"/>
      <x:c r="C245" s="524"/>
      <x:c r="D245" s="524"/>
      <x:c r="E245" s="551" t="n"/>
      <x:c r="F245" s="551" t="n"/>
      <x:c r="G245" s="524"/>
      <x:c r="H245" s="524"/>
      <x:c r="I245" s="524"/>
      <x:c r="J245" s="524"/>
      <x:c r="K245" s="524"/>
      <x:c r="L245" s="524"/>
    </x:row>
    <x:row r="246">
      <x:c r="A246" s="524"/>
      <x:c r="B246" s="524"/>
      <x:c r="C246" s="524"/>
      <x:c r="D246" s="524"/>
      <x:c r="E246" s="551" t="n"/>
      <x:c r="F246" s="551" t="n"/>
      <x:c r="G246" s="524"/>
      <x:c r="H246" s="524"/>
      <x:c r="I246" s="524"/>
      <x:c r="J246" s="524"/>
      <x:c r="K246" s="524"/>
      <x:c r="L246" s="524"/>
    </x:row>
    <x:row r="247">
      <x:c r="A247" s="524"/>
      <x:c r="B247" s="524"/>
      <x:c r="C247" s="524"/>
      <x:c r="D247" s="524"/>
      <x:c r="E247" s="551" t="n"/>
      <x:c r="F247" s="551" t="n"/>
      <x:c r="G247" s="524"/>
      <x:c r="H247" s="524"/>
      <x:c r="I247" s="524"/>
      <x:c r="J247" s="524"/>
      <x:c r="K247" s="524"/>
      <x:c r="L247" s="524"/>
    </x:row>
    <x:row r="248">
      <x:c r="A248" s="524"/>
      <x:c r="B248" s="524"/>
      <x:c r="C248" s="524"/>
      <x:c r="D248" s="524"/>
      <x:c r="E248" s="551" t="n"/>
      <x:c r="F248" s="551" t="n"/>
      <x:c r="G248" s="524"/>
      <x:c r="H248" s="524"/>
      <x:c r="I248" s="524"/>
      <x:c r="J248" s="524"/>
      <x:c r="K248" s="524"/>
      <x:c r="L248" s="524"/>
    </x:row>
    <x:row r="249">
      <x:c r="A249" s="524"/>
      <x:c r="B249" s="524"/>
      <x:c r="C249" s="524"/>
      <x:c r="D249" s="524"/>
      <x:c r="E249" s="551" t="n"/>
      <x:c r="F249" s="551" t="n"/>
      <x:c r="G249" s="524"/>
      <x:c r="H249" s="524"/>
      <x:c r="I249" s="524"/>
      <x:c r="J249" s="524"/>
      <x:c r="K249" s="524"/>
      <x:c r="L249" s="524"/>
    </x:row>
    <x:row r="250">
      <x:c r="A250" s="524"/>
      <x:c r="B250" s="524"/>
      <x:c r="C250" s="524"/>
      <x:c r="D250" s="524"/>
      <x:c r="E250" s="551" t="n"/>
      <x:c r="F250" s="551" t="n"/>
      <x:c r="G250" s="524"/>
      <x:c r="H250" s="524"/>
      <x:c r="I250" s="524"/>
      <x:c r="J250" s="524"/>
      <x:c r="K250" s="524"/>
      <x:c r="L250" s="524"/>
    </x:row>
    <x:row r="251">
      <x:c r="A251" s="524"/>
      <x:c r="B251" s="524"/>
      <x:c r="C251" s="524"/>
      <x:c r="D251" s="524"/>
      <x:c r="E251" s="551" t="n"/>
      <x:c r="F251" s="551" t="n"/>
      <x:c r="G251" s="524"/>
      <x:c r="H251" s="524"/>
      <x:c r="I251" s="524"/>
      <x:c r="J251" s="524"/>
      <x:c r="K251" s="524"/>
      <x:c r="L251" s="524"/>
    </x:row>
    <x:row r="252">
      <x:c r="A252" s="524"/>
      <x:c r="B252" s="524"/>
      <x:c r="C252" s="524"/>
      <x:c r="D252" s="524"/>
      <x:c r="E252" s="551" t="n"/>
      <x:c r="F252" s="551" t="n"/>
      <x:c r="G252" s="524"/>
      <x:c r="H252" s="524"/>
      <x:c r="I252" s="524"/>
      <x:c r="J252" s="524"/>
      <x:c r="K252" s="524"/>
      <x:c r="L252" s="524"/>
    </x:row>
    <x:row r="253">
      <x:c r="A253" s="524"/>
      <x:c r="B253" s="524"/>
      <x:c r="C253" s="524"/>
      <x:c r="D253" s="524"/>
      <x:c r="E253" s="551" t="n"/>
      <x:c r="F253" s="551" t="n"/>
      <x:c r="G253" s="524"/>
      <x:c r="H253" s="524"/>
      <x:c r="I253" s="524"/>
      <x:c r="J253" s="524"/>
      <x:c r="K253" s="524"/>
      <x:c r="L253" s="524"/>
    </x:row>
    <x:row r="254">
      <x:c r="A254" s="524"/>
      <x:c r="B254" s="524"/>
      <x:c r="C254" s="524"/>
      <x:c r="D254" s="524"/>
      <x:c r="E254" s="551" t="n"/>
      <x:c r="F254" s="551" t="n"/>
      <x:c r="G254" s="524"/>
      <x:c r="H254" s="524"/>
      <x:c r="I254" s="524"/>
      <x:c r="J254" s="524"/>
      <x:c r="K254" s="524"/>
      <x:c r="L254" s="524"/>
    </x:row>
    <x:row r="255">
      <x:c r="A255" s="524"/>
      <x:c r="B255" s="524"/>
      <x:c r="C255" s="524"/>
      <x:c r="D255" s="524"/>
      <x:c r="E255" s="551" t="n"/>
      <x:c r="F255" s="551" t="n"/>
      <x:c r="G255" s="524"/>
      <x:c r="H255" s="524"/>
      <x:c r="I255" s="524"/>
      <x:c r="J255" s="524"/>
      <x:c r="K255" s="524"/>
      <x:c r="L255" s="524"/>
    </x:row>
    <x:row r="256">
      <x:c r="A256" s="524"/>
      <x:c r="B256" s="524"/>
      <x:c r="C256" s="524"/>
      <x:c r="D256" s="524"/>
      <x:c r="E256" s="551" t="n"/>
      <x:c r="F256" s="551" t="n"/>
      <x:c r="G256" s="524"/>
      <x:c r="H256" s="524"/>
      <x:c r="I256" s="524"/>
      <x:c r="J256" s="524"/>
      <x:c r="K256" s="524"/>
      <x:c r="L256" s="524"/>
    </x:row>
    <x:row r="257">
      <x:c r="A257" s="524"/>
      <x:c r="B257" s="524"/>
      <x:c r="C257" s="524"/>
      <x:c r="D257" s="524"/>
      <x:c r="E257" s="551" t="n"/>
      <x:c r="F257" s="551" t="n"/>
      <x:c r="G257" s="524"/>
      <x:c r="H257" s="524"/>
      <x:c r="I257" s="524"/>
      <x:c r="J257" s="524"/>
      <x:c r="K257" s="524"/>
      <x:c r="L257" s="524"/>
    </x:row>
    <x:row r="258">
      <x:c r="A258" s="524"/>
      <x:c r="B258" s="524"/>
      <x:c r="C258" s="524"/>
      <x:c r="D258" s="524"/>
      <x:c r="E258" s="551" t="n"/>
      <x:c r="F258" s="551" t="n"/>
      <x:c r="G258" s="524"/>
      <x:c r="H258" s="524"/>
      <x:c r="I258" s="524"/>
      <x:c r="J258" s="524"/>
      <x:c r="K258" s="524"/>
      <x:c r="L258" s="524"/>
    </x:row>
    <x:row r="259">
      <x:c r="A259" s="524"/>
      <x:c r="B259" s="524"/>
      <x:c r="C259" s="524"/>
      <x:c r="D259" s="524"/>
      <x:c r="E259" s="551" t="n"/>
      <x:c r="F259" s="551" t="n"/>
      <x:c r="G259" s="524"/>
      <x:c r="H259" s="524"/>
      <x:c r="I259" s="524"/>
      <x:c r="J259" s="524"/>
      <x:c r="K259" s="524"/>
      <x:c r="L259" s="524"/>
    </x:row>
    <x:row r="260">
      <x:c r="A260" s="524"/>
      <x:c r="B260" s="524"/>
      <x:c r="C260" s="524"/>
      <x:c r="D260" s="524"/>
      <x:c r="E260" s="551" t="n"/>
      <x:c r="F260" s="551" t="n"/>
      <x:c r="G260" s="524"/>
      <x:c r="H260" s="524"/>
      <x:c r="I260" s="524"/>
      <x:c r="J260" s="524"/>
      <x:c r="K260" s="524"/>
      <x:c r="L260" s="524"/>
    </x:row>
    <x:row r="261">
      <x:c r="A261" s="524"/>
      <x:c r="B261" s="524"/>
      <x:c r="C261" s="524"/>
      <x:c r="D261" s="524"/>
      <x:c r="E261" s="551" t="n"/>
      <x:c r="F261" s="551" t="n"/>
      <x:c r="G261" s="524"/>
      <x:c r="H261" s="524"/>
      <x:c r="I261" s="524"/>
      <x:c r="J261" s="524"/>
      <x:c r="K261" s="524"/>
      <x:c r="L261" s="524"/>
    </x:row>
    <x:row r="262">
      <x:c r="A262" s="524"/>
      <x:c r="B262" s="524"/>
      <x:c r="C262" s="524"/>
      <x:c r="D262" s="524"/>
      <x:c r="E262" s="551" t="n"/>
      <x:c r="F262" s="551" t="n"/>
      <x:c r="G262" s="524"/>
      <x:c r="H262" s="524"/>
      <x:c r="I262" s="524"/>
      <x:c r="J262" s="524"/>
      <x:c r="K262" s="524"/>
      <x:c r="L262" s="524"/>
    </x:row>
    <x:row r="263">
      <x:c r="A263" s="524"/>
      <x:c r="B263" s="524"/>
      <x:c r="C263" s="524"/>
      <x:c r="D263" s="524"/>
      <x:c r="E263" s="551" t="n"/>
      <x:c r="F263" s="551" t="n"/>
      <x:c r="G263" s="524"/>
      <x:c r="H263" s="524"/>
      <x:c r="I263" s="524"/>
      <x:c r="J263" s="524"/>
      <x:c r="K263" s="524"/>
      <x:c r="L263" s="524"/>
    </x:row>
    <x:row r="264">
      <x:c r="A264" s="524"/>
      <x:c r="B264" s="524"/>
      <x:c r="C264" s="524"/>
      <x:c r="D264" s="524"/>
      <x:c r="E264" s="551" t="n"/>
      <x:c r="F264" s="551" t="n"/>
      <x:c r="G264" s="524"/>
      <x:c r="H264" s="524"/>
      <x:c r="I264" s="524"/>
      <x:c r="J264" s="524"/>
      <x:c r="K264" s="524"/>
      <x:c r="L264" s="524"/>
    </x:row>
    <x:row r="265">
      <x:c r="A265" s="524"/>
      <x:c r="B265" s="524"/>
      <x:c r="C265" s="524"/>
      <x:c r="D265" s="524"/>
      <x:c r="E265" s="551" t="n"/>
      <x:c r="F265" s="551" t="n"/>
      <x:c r="G265" s="524"/>
      <x:c r="H265" s="524"/>
      <x:c r="I265" s="524"/>
      <x:c r="J265" s="524"/>
      <x:c r="K265" s="524"/>
      <x:c r="L265" s="524"/>
    </x:row>
    <x:row r="266">
      <x:c r="A266" s="524"/>
      <x:c r="B266" s="524"/>
      <x:c r="C266" s="524"/>
      <x:c r="D266" s="524"/>
      <x:c r="E266" s="551" t="n"/>
      <x:c r="F266" s="551" t="n"/>
      <x:c r="G266" s="524"/>
      <x:c r="H266" s="524"/>
      <x:c r="I266" s="524"/>
      <x:c r="J266" s="524"/>
      <x:c r="K266" s="524"/>
      <x:c r="L266" s="524"/>
    </x:row>
    <x:row r="267">
      <x:c r="A267" s="524"/>
      <x:c r="B267" s="524"/>
      <x:c r="C267" s="524"/>
      <x:c r="D267" s="524"/>
      <x:c r="E267" s="551" t="n"/>
      <x:c r="F267" s="551" t="n"/>
      <x:c r="G267" s="524"/>
      <x:c r="H267" s="524"/>
      <x:c r="I267" s="524"/>
      <x:c r="J267" s="524"/>
      <x:c r="K267" s="524"/>
      <x:c r="L267" s="524"/>
    </x:row>
    <x:row r="268">
      <x:c r="A268" s="524"/>
      <x:c r="B268" s="524"/>
      <x:c r="C268" s="524"/>
      <x:c r="D268" s="524"/>
      <x:c r="E268" s="551" t="n"/>
      <x:c r="F268" s="551" t="n"/>
      <x:c r="G268" s="524"/>
      <x:c r="H268" s="524"/>
      <x:c r="I268" s="524"/>
      <x:c r="J268" s="524"/>
      <x:c r="K268" s="524"/>
      <x:c r="L268" s="524"/>
    </x:row>
    <x:row r="269">
      <x:c r="A269" s="524"/>
      <x:c r="B269" s="524"/>
      <x:c r="C269" s="524"/>
      <x:c r="D269" s="524"/>
      <x:c r="E269" s="551" t="n"/>
      <x:c r="F269" s="551" t="n"/>
      <x:c r="G269" s="524"/>
      <x:c r="H269" s="524"/>
      <x:c r="I269" s="524"/>
      <x:c r="J269" s="524"/>
      <x:c r="K269" s="524"/>
      <x:c r="L269" s="524"/>
    </x:row>
    <x:row r="270">
      <x:c r="A270" s="524"/>
      <x:c r="B270" s="524"/>
      <x:c r="C270" s="524"/>
      <x:c r="D270" s="524"/>
      <x:c r="E270" s="551" t="n"/>
      <x:c r="F270" s="551" t="n"/>
      <x:c r="G270" s="524"/>
      <x:c r="H270" s="524"/>
      <x:c r="I270" s="524"/>
      <x:c r="J270" s="524"/>
      <x:c r="K270" s="524"/>
      <x:c r="L270" s="524"/>
    </x:row>
    <x:row r="271">
      <x:c r="A271" s="524"/>
      <x:c r="B271" s="524"/>
      <x:c r="C271" s="524"/>
      <x:c r="D271" s="524"/>
      <x:c r="E271" s="551" t="n"/>
      <x:c r="F271" s="551" t="n"/>
      <x:c r="G271" s="524"/>
      <x:c r="H271" s="524"/>
      <x:c r="I271" s="524"/>
      <x:c r="J271" s="524"/>
      <x:c r="K271" s="524"/>
      <x:c r="L271" s="524"/>
    </x:row>
    <x:row r="272">
      <x:c r="A272" s="524"/>
      <x:c r="B272" s="524"/>
      <x:c r="C272" s="524"/>
      <x:c r="D272" s="524"/>
      <x:c r="E272" s="551" t="n"/>
      <x:c r="F272" s="551" t="n"/>
      <x:c r="G272" s="524"/>
      <x:c r="H272" s="524"/>
      <x:c r="I272" s="524"/>
      <x:c r="J272" s="524"/>
      <x:c r="K272" s="524"/>
      <x:c r="L272" s="524"/>
    </x:row>
    <x:row r="273">
      <x:c r="A273" s="524"/>
      <x:c r="B273" s="524"/>
      <x:c r="C273" s="524"/>
      <x:c r="D273" s="524"/>
      <x:c r="E273" s="551" t="n"/>
      <x:c r="F273" s="551" t="n"/>
      <x:c r="G273" s="524"/>
      <x:c r="H273" s="524"/>
      <x:c r="I273" s="524"/>
      <x:c r="J273" s="524"/>
      <x:c r="K273" s="524"/>
      <x:c r="L273" s="524"/>
    </x:row>
    <x:row r="274">
      <x:c r="A274" s="524"/>
      <x:c r="B274" s="524"/>
      <x:c r="C274" s="524"/>
      <x:c r="D274" s="524"/>
      <x:c r="E274" s="551" t="n"/>
      <x:c r="F274" s="551" t="n"/>
      <x:c r="G274" s="524"/>
      <x:c r="H274" s="524"/>
      <x:c r="I274" s="524"/>
      <x:c r="J274" s="524"/>
      <x:c r="K274" s="524"/>
      <x:c r="L274" s="524"/>
    </x:row>
    <x:row r="275">
      <x:c r="A275" s="524"/>
      <x:c r="B275" s="524"/>
      <x:c r="C275" s="524"/>
      <x:c r="D275" s="524"/>
      <x:c r="E275" s="551" t="n"/>
      <x:c r="F275" s="551" t="n"/>
      <x:c r="G275" s="524"/>
      <x:c r="H275" s="524"/>
      <x:c r="I275" s="524"/>
      <x:c r="J275" s="524"/>
      <x:c r="K275" s="524"/>
      <x:c r="L275" s="524"/>
    </x:row>
    <x:row r="276">
      <x:c r="A276" s="524"/>
      <x:c r="B276" s="524"/>
      <x:c r="C276" s="524"/>
      <x:c r="D276" s="524"/>
      <x:c r="E276" s="551" t="n"/>
      <x:c r="F276" s="551" t="n"/>
      <x:c r="G276" s="524"/>
      <x:c r="H276" s="524"/>
      <x:c r="I276" s="524"/>
      <x:c r="J276" s="524"/>
      <x:c r="K276" s="524"/>
      <x:c r="L276" s="524"/>
    </x:row>
    <x:row r="277">
      <x:c r="A277" s="524"/>
      <x:c r="B277" s="524"/>
      <x:c r="C277" s="524"/>
      <x:c r="D277" s="524"/>
      <x:c r="E277" s="551" t="n"/>
      <x:c r="F277" s="551" t="n"/>
      <x:c r="G277" s="524"/>
      <x:c r="H277" s="524"/>
      <x:c r="I277" s="524"/>
      <x:c r="J277" s="524"/>
      <x:c r="K277" s="524"/>
      <x:c r="L277" s="524"/>
    </x:row>
    <x:row r="278">
      <x:c r="A278" s="524"/>
      <x:c r="B278" s="524"/>
      <x:c r="C278" s="524"/>
      <x:c r="D278" s="524"/>
      <x:c r="E278" s="551" t="n"/>
      <x:c r="F278" s="551" t="n"/>
      <x:c r="G278" s="524"/>
      <x:c r="H278" s="524"/>
      <x:c r="I278" s="524"/>
      <x:c r="J278" s="524"/>
      <x:c r="K278" s="524"/>
      <x:c r="L278" s="524"/>
    </x:row>
    <x:row r="279">
      <x:c r="A279" s="524"/>
      <x:c r="B279" s="524"/>
      <x:c r="C279" s="524"/>
      <x:c r="D279" s="524"/>
      <x:c r="E279" s="551" t="n"/>
      <x:c r="F279" s="551" t="n"/>
      <x:c r="G279" s="524"/>
      <x:c r="H279" s="524"/>
      <x:c r="I279" s="524"/>
      <x:c r="J279" s="524"/>
      <x:c r="K279" s="524"/>
      <x:c r="L279" s="524"/>
    </x:row>
    <x:row r="280">
      <x:c r="A280" s="524"/>
      <x:c r="B280" s="524"/>
      <x:c r="C280" s="524"/>
      <x:c r="D280" s="524"/>
      <x:c r="E280" s="551" t="n"/>
      <x:c r="F280" s="551" t="n"/>
      <x:c r="G280" s="524"/>
      <x:c r="H280" s="524"/>
      <x:c r="I280" s="524"/>
      <x:c r="J280" s="524"/>
      <x:c r="K280" s="524"/>
      <x:c r="L280" s="524"/>
    </x:row>
    <x:row r="281">
      <x:c r="A281" s="524"/>
      <x:c r="B281" s="524"/>
      <x:c r="C281" s="524"/>
      <x:c r="D281" s="524"/>
      <x:c r="E281" s="551" t="n"/>
      <x:c r="F281" s="551" t="n"/>
      <x:c r="G281" s="524"/>
      <x:c r="H281" s="524"/>
      <x:c r="I281" s="524"/>
      <x:c r="J281" s="524"/>
      <x:c r="K281" s="524"/>
      <x:c r="L281" s="524"/>
    </x:row>
    <x:row r="282">
      <x:c r="A282" s="524"/>
      <x:c r="B282" s="524"/>
      <x:c r="C282" s="524"/>
      <x:c r="D282" s="524"/>
      <x:c r="E282" s="551" t="n"/>
      <x:c r="F282" s="551" t="n"/>
      <x:c r="G282" s="524"/>
      <x:c r="H282" s="524"/>
      <x:c r="I282" s="524"/>
      <x:c r="J282" s="524"/>
      <x:c r="K282" s="524"/>
      <x:c r="L282" s="524"/>
    </x:row>
    <x:row r="283">
      <x:c r="A283" s="524"/>
      <x:c r="B283" s="524"/>
      <x:c r="C283" s="524"/>
      <x:c r="D283" s="524"/>
      <x:c r="E283" s="551" t="n"/>
      <x:c r="F283" s="551" t="n"/>
      <x:c r="G283" s="524"/>
      <x:c r="H283" s="524"/>
      <x:c r="I283" s="524"/>
      <x:c r="J283" s="524"/>
      <x:c r="K283" s="524"/>
      <x:c r="L283" s="524"/>
    </x:row>
    <x:row r="284">
      <x:c r="A284" s="524"/>
      <x:c r="B284" s="524"/>
      <x:c r="C284" s="524"/>
      <x:c r="D284" s="524"/>
      <x:c r="E284" s="551" t="n"/>
      <x:c r="F284" s="551" t="n"/>
      <x:c r="G284" s="524"/>
      <x:c r="H284" s="524"/>
      <x:c r="I284" s="524"/>
      <x:c r="J284" s="524"/>
      <x:c r="K284" s="524"/>
      <x:c r="L284" s="524"/>
    </x:row>
    <x:row r="285">
      <x:c r="A285" s="524"/>
      <x:c r="B285" s="524"/>
      <x:c r="C285" s="524"/>
      <x:c r="D285" s="524"/>
      <x:c r="E285" s="551" t="n"/>
      <x:c r="F285" s="551" t="n"/>
      <x:c r="G285" s="524"/>
      <x:c r="H285" s="524"/>
      <x:c r="I285" s="524"/>
      <x:c r="J285" s="524"/>
      <x:c r="K285" s="524"/>
      <x:c r="L285" s="524"/>
    </x:row>
    <x:row r="286">
      <x:c r="A286" s="524"/>
      <x:c r="B286" s="524"/>
      <x:c r="C286" s="524"/>
      <x:c r="D286" s="524"/>
      <x:c r="E286" s="551" t="n"/>
      <x:c r="F286" s="551" t="n"/>
      <x:c r="G286" s="524"/>
      <x:c r="H286" s="524"/>
      <x:c r="I286" s="524"/>
      <x:c r="J286" s="524"/>
      <x:c r="K286" s="524"/>
      <x:c r="L286" s="524"/>
    </x:row>
    <x:row r="287">
      <x:c r="A287" s="524"/>
      <x:c r="B287" s="524"/>
      <x:c r="C287" s="524"/>
      <x:c r="D287" s="524"/>
      <x:c r="E287" s="551" t="n"/>
      <x:c r="F287" s="551" t="n"/>
      <x:c r="G287" s="524"/>
      <x:c r="H287" s="524"/>
      <x:c r="I287" s="524"/>
      <x:c r="J287" s="524"/>
      <x:c r="K287" s="524"/>
      <x:c r="L287" s="524"/>
    </x:row>
    <x:row r="288">
      <x:c r="A288" s="524"/>
      <x:c r="B288" s="524"/>
      <x:c r="C288" s="524"/>
      <x:c r="D288" s="524"/>
      <x:c r="E288" s="551" t="n"/>
      <x:c r="F288" s="551" t="n"/>
      <x:c r="G288" s="524"/>
      <x:c r="H288" s="524"/>
      <x:c r="I288" s="524"/>
      <x:c r="J288" s="524"/>
      <x:c r="K288" s="524"/>
      <x:c r="L288" s="524"/>
    </x:row>
    <x:row r="289">
      <x:c r="A289" s="524"/>
      <x:c r="B289" s="524"/>
      <x:c r="C289" s="524"/>
      <x:c r="D289" s="524"/>
      <x:c r="E289" s="551" t="n"/>
      <x:c r="F289" s="551" t="n"/>
      <x:c r="G289" s="524"/>
      <x:c r="H289" s="524"/>
      <x:c r="I289" s="524"/>
      <x:c r="J289" s="524"/>
      <x:c r="K289" s="524"/>
      <x:c r="L289" s="524"/>
    </x:row>
    <x:row r="290">
      <x:c r="A290" s="524"/>
      <x:c r="B290" s="524"/>
      <x:c r="C290" s="524"/>
      <x:c r="D290" s="524"/>
      <x:c r="E290" s="551" t="n"/>
      <x:c r="F290" s="551" t="n"/>
      <x:c r="G290" s="524"/>
      <x:c r="H290" s="524"/>
      <x:c r="I290" s="524"/>
      <x:c r="J290" s="524"/>
      <x:c r="K290" s="524"/>
      <x:c r="L290" s="524"/>
    </x:row>
    <x:row r="291">
      <x:c r="A291" s="524"/>
      <x:c r="B291" s="524"/>
      <x:c r="C291" s="524"/>
      <x:c r="D291" s="524"/>
      <x:c r="E291" s="551" t="n"/>
      <x:c r="F291" s="551" t="n"/>
      <x:c r="G291" s="524"/>
      <x:c r="H291" s="524"/>
      <x:c r="I291" s="524"/>
      <x:c r="J291" s="524"/>
      <x:c r="K291" s="524"/>
      <x:c r="L291" s="524"/>
    </x:row>
    <x:row r="292">
      <x:c r="A292" s="524"/>
      <x:c r="B292" s="524"/>
      <x:c r="C292" s="524"/>
      <x:c r="D292" s="524"/>
      <x:c r="E292" s="551" t="n"/>
      <x:c r="F292" s="551" t="n"/>
      <x:c r="G292" s="524"/>
      <x:c r="H292" s="524"/>
      <x:c r="I292" s="524"/>
      <x:c r="J292" s="524"/>
      <x:c r="K292" s="524"/>
      <x:c r="L292" s="524"/>
    </x:row>
    <x:row r="293">
      <x:c r="A293" s="524"/>
      <x:c r="B293" s="524"/>
      <x:c r="C293" s="524"/>
      <x:c r="D293" s="524"/>
      <x:c r="E293" s="551" t="n"/>
      <x:c r="F293" s="551" t="n"/>
      <x:c r="G293" s="524"/>
      <x:c r="H293" s="524"/>
      <x:c r="I293" s="524"/>
      <x:c r="J293" s="524"/>
      <x:c r="K293" s="524"/>
      <x:c r="L293" s="524"/>
    </x:row>
    <x:row r="294">
      <x:c r="A294" s="524"/>
      <x:c r="B294" s="524"/>
      <x:c r="C294" s="524"/>
      <x:c r="D294" s="524"/>
      <x:c r="E294" s="551" t="n"/>
      <x:c r="F294" s="551" t="n"/>
      <x:c r="G294" s="524"/>
      <x:c r="H294" s="524"/>
      <x:c r="I294" s="524"/>
      <x:c r="J294" s="524"/>
      <x:c r="K294" s="524"/>
      <x:c r="L294" s="524"/>
    </x:row>
    <x:row r="295">
      <x:c r="A295" s="524"/>
      <x:c r="B295" s="524"/>
      <x:c r="C295" s="524"/>
      <x:c r="D295" s="524"/>
      <x:c r="E295" s="551" t="n"/>
      <x:c r="F295" s="551" t="n"/>
      <x:c r="G295" s="524"/>
      <x:c r="H295" s="524"/>
      <x:c r="I295" s="524"/>
      <x:c r="J295" s="524"/>
      <x:c r="K295" s="524"/>
      <x:c r="L295" s="524"/>
    </x:row>
    <x:row r="296">
      <x:c r="A296" s="524"/>
      <x:c r="B296" s="524"/>
      <x:c r="C296" s="524"/>
      <x:c r="D296" s="524"/>
      <x:c r="E296" s="551" t="n"/>
      <x:c r="F296" s="551" t="n"/>
      <x:c r="G296" s="524"/>
      <x:c r="H296" s="524"/>
      <x:c r="I296" s="524"/>
      <x:c r="J296" s="524"/>
      <x:c r="K296" s="524"/>
      <x:c r="L296" s="524"/>
    </x:row>
    <x:row r="297">
      <x:c r="A297" s="524"/>
      <x:c r="B297" s="524"/>
      <x:c r="C297" s="524"/>
      <x:c r="D297" s="524"/>
      <x:c r="E297" s="551" t="n"/>
      <x:c r="F297" s="551" t="n"/>
      <x:c r="G297" s="524"/>
      <x:c r="H297" s="524"/>
      <x:c r="I297" s="524"/>
      <x:c r="J297" s="524"/>
      <x:c r="K297" s="524"/>
      <x:c r="L297" s="524"/>
    </x:row>
    <x:row r="298">
      <x:c r="A298" s="524"/>
      <x:c r="B298" s="524"/>
      <x:c r="C298" s="524"/>
      <x:c r="D298" s="524"/>
      <x:c r="E298" s="551" t="n"/>
      <x:c r="F298" s="551" t="n"/>
      <x:c r="G298" s="524"/>
      <x:c r="H298" s="524"/>
      <x:c r="I298" s="524"/>
      <x:c r="J298" s="524"/>
      <x:c r="K298" s="524"/>
      <x:c r="L298" s="524"/>
    </x:row>
    <x:row r="299">
      <x:c r="A299" s="524"/>
      <x:c r="B299" s="524"/>
      <x:c r="C299" s="524"/>
      <x:c r="D299" s="524"/>
      <x:c r="E299" s="551" t="n"/>
      <x:c r="F299" s="551" t="n"/>
      <x:c r="G299" s="524"/>
      <x:c r="H299" s="524"/>
      <x:c r="I299" s="524"/>
      <x:c r="J299" s="524"/>
      <x:c r="K299" s="524"/>
      <x:c r="L299" s="524"/>
    </x:row>
    <x:row r="300">
      <x:c r="A300" s="524"/>
      <x:c r="B300" s="524"/>
      <x:c r="C300" s="524"/>
      <x:c r="D300" s="524"/>
      <x:c r="E300" s="551" t="n"/>
      <x:c r="F300" s="551" t="n"/>
      <x:c r="G300" s="524"/>
      <x:c r="H300" s="524"/>
      <x:c r="I300" s="524"/>
      <x:c r="J300" s="524"/>
      <x:c r="K300" s="524"/>
      <x:c r="L300" s="524"/>
    </x:row>
    <x:row r="301">
      <x:c r="A301" s="524"/>
      <x:c r="B301" s="524"/>
      <x:c r="C301" s="524"/>
      <x:c r="D301" s="524"/>
      <x:c r="E301" s="551" t="n"/>
      <x:c r="F301" s="551" t="n"/>
      <x:c r="G301" s="524"/>
      <x:c r="H301" s="524"/>
      <x:c r="I301" s="524"/>
      <x:c r="J301" s="524"/>
      <x:c r="K301" s="524"/>
      <x:c r="L301" s="524"/>
    </x:row>
    <x:row r="302">
      <x:c r="A302" s="524"/>
      <x:c r="B302" s="524"/>
      <x:c r="C302" s="524"/>
      <x:c r="D302" s="524"/>
      <x:c r="E302" s="551" t="n"/>
      <x:c r="F302" s="551" t="n"/>
      <x:c r="G302" s="524"/>
      <x:c r="H302" s="524"/>
      <x:c r="I302" s="524"/>
      <x:c r="J302" s="524"/>
      <x:c r="K302" s="524"/>
      <x:c r="L302" s="524"/>
    </x:row>
    <x:row r="303">
      <x:c r="A303" s="524"/>
      <x:c r="B303" s="524"/>
      <x:c r="C303" s="524"/>
      <x:c r="D303" s="524"/>
      <x:c r="E303" s="551" t="n"/>
      <x:c r="F303" s="551" t="n"/>
      <x:c r="G303" s="524"/>
      <x:c r="H303" s="524"/>
      <x:c r="I303" s="524"/>
      <x:c r="J303" s="524"/>
      <x:c r="K303" s="524"/>
      <x:c r="L303" s="524"/>
    </x:row>
  </x:sheetData>
  <x:mergeCells>
    <x:mergeCell ref="A1:L1"/>
  </x:mergeCells>
  <x:dataValidations count="2">
    <x:dataValidation type="list" allowBlank="0" showDropDown="0" showInputMessage="0" showErrorMessage="0" sqref="K4:K303">
      <x:formula1>"Đang bán,Ngừng bán,Sắp ra mắt,Ẩn"</x:formula1>
    </x:dataValidation>
    <x:dataValidation type="list" allowBlank="0" showDropDown="0" showInputMessage="0" showErrorMessage="0" sqref="C4:C303">
      <x:formula1>"Đèn,Đồ trang trí,Móc khóa,Flexi,Đồ dùng,Phụ kiện,Khác"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d61c1471494f9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9.75" style="14" customWidth="1"/>
    <x:col min="2" max="2" width="10.630000114440918" style="14" customWidth="1"/>
    <x:col min="3" max="3" width="10.630000114440918" style="14" customWidth="1"/>
    <x:col min="4" max="4" width="11" style="14" customWidth="1"/>
    <x:col min="5" max="5" width="11.5" style="14" customWidth="1"/>
    <x:col min="6" max="6" width="18.6299991607666" style="14" customWidth="1"/>
    <x:col min="7" max="7" width="16.3799991607666" style="14" customWidth="1"/>
    <x:col min="8" max="8" width="10.75" style="14" customWidth="1"/>
    <x:col min="9" max="9" width="14.75" style="14" customWidth="1"/>
    <x:col min="10" max="10" width="11.75" style="14" customWidth="1"/>
    <x:col min="11" max="11" width="14.380000114440918" style="14" customWidth="1"/>
    <x:col min="12" max="12" width="40" style="14" customWidth="1"/>
    <x:col min="13" max="13" width="13.25" style="14" customWidth="1"/>
    <x:col min="14" max="14" width="13" style="14" customWidth="1"/>
    <x:col min="15" max="15" width="30" style="14" customWidth="1"/>
  </x:cols>
  <x:sheetData>
    <x:row r="1" s="14" customFormat="1" ht="28" customHeight="1">
      <x:c r="A1" s="548" t="inlineStr">
        <x:is>
          <x:t xml:space="preserve">KHO NHỰA: LOẠI • MÀU • HÃNG • GIÁ • TỒN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  <x:c r="L1" s="524" t="n"/>
      <x:c r="M1" s="524" t="n"/>
      <x:c r="N1" s="524" t="n"/>
      <x:c r="O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  <x:c r="K2" s="524"/>
      <x:c r="L2" s="524"/>
      <x:c r="M2" s="524"/>
      <x:c r="N2" s="524"/>
      <x:c r="O2" s="524"/>
    </x:row>
    <x:row r="3" s="14" customFormat="1" ht="32" customHeight="1">
      <x:c r="A3" s="547" t="inlineStr">
        <x:is>
          <x:t xml:space="preserve">Mã cuộn</x:t>
        </x:is>
      </x:c>
      <x:c r="B3" s="547" t="inlineStr">
        <x:is>
          <x:t xml:space="preserve">Ngày mua</x:t>
        </x:is>
      </x:c>
      <x:c r="C3" s="547" t="inlineStr">
        <x:is>
          <x:t xml:space="preserve">Loại nhựa</x:t>
        </x:is>
      </x:c>
      <x:c r="D3" s="547" t="inlineStr">
        <x:is>
          <x:t xml:space="preserve">Màu nhựa</x:t>
        </x:is>
      </x:c>
      <x:c r="E3" s="547" t="inlineStr">
        <x:is>
          <x:t xml:space="preserve">Hãng nhựa</x:t>
        </x:is>
      </x:c>
      <x:c r="F3" s="547" t="inlineStr">
        <x:is>
          <x:t xml:space="preserve">Khối lượng mua (kg)</x:t>
        </x:is>
      </x:c>
      <x:c r="G3" s="547" t="inlineStr">
        <x:is>
          <x:t xml:space="preserve">Giá mua/cuộn (đ)</x:t>
        </x:is>
      </x:c>
      <x:c r="H3" s="547" t="inlineStr">
        <x:is>
          <x:t xml:space="preserve">Giá/kg (đ)</x:t>
        </x:is>
      </x:c>
      <x:c r="I3" s="547" t="inlineStr">
        <x:is>
          <x:t xml:space="preserve">Tồn đầu vào (g)</x:t>
        </x:is>
      </x:c>
      <x:c r="J3" s="547" t="inlineStr">
        <x:is>
          <x:t xml:space="preserve">Đã dùng (g)</x:t>
        </x:is>
      </x:c>
      <x:c r="K3" s="547" t="inlineStr">
        <x:is>
          <x:t xml:space="preserve">Tồn hiện tại (g)</x:t>
        </x:is>
      </x:c>
      <x:c r="L3" s="547" t="inlineStr">
        <x:is>
          <x:t xml:space="preserve">Link mua</x:t>
        </x:is>
      </x:c>
      <x:c r="M3" s="547" t="inlineStr">
        <x:is>
          <x:t xml:space="preserve">Nhà cung cấp</x:t>
        </x:is>
      </x:c>
      <x:c r="N3" s="547" t="inlineStr">
        <x:is>
          <x:t xml:space="preserve">Vị trí lưu kho</x:t>
        </x:is>
      </x:c>
      <x:c r="O3" s="547" t="inlineStr">
        <x:is>
          <x:t xml:space="preserve">Ghi chú</x:t>
        </x:is>
      </x:c>
    </x:row>
    <x:row r="4">
      <x:c r="A4" s="524"/>
      <x:c r="B4" s="538" t="n"/>
      <x:c r="C4" s="524"/>
      <x:c r="D4" s="524"/>
      <x:c r="E4" s="524"/>
      <x:c r="F4" s="552" t="n"/>
      <x:c r="G4" s="551" t="n"/>
      <x:c r="H4" s="551" t="str">
        <x:f>IF(OR(A4="",F4="",F4=0,G4=""),"",G4/F4)</x:f>
      </x:c>
      <x:c r="I4" s="553" t="str">
        <x:f>IF(OR(A4="",F4=""),"",F4*1000)</x:f>
      </x:c>
      <x:c r="J4" s="553" t="n"/>
      <x:c r="K4" s="553" t="str">
        <x:f>IF(A4="","",I4-J4)</x:f>
      </x:c>
      <x:c r="L4" s="524"/>
      <x:c r="M4" s="524"/>
      <x:c r="N4" s="524"/>
      <x:c r="O4" s="524"/>
    </x:row>
    <x:row r="5">
      <x:c r="A5" s="524"/>
      <x:c r="B5" s="538" t="n"/>
      <x:c r="C5" s="524"/>
      <x:c r="D5" s="524"/>
      <x:c r="E5" s="524"/>
      <x:c r="F5" s="552" t="n"/>
      <x:c r="G5" s="551" t="n"/>
      <x:c r="H5" s="551" t="str">
        <x:f>IF(OR(A5="",F5="",F5=0,G5=""),"",G5/F5)</x:f>
      </x:c>
      <x:c r="I5" s="553" t="str">
        <x:f>IF(OR(A5="",F5=""),"",F5*1000)</x:f>
      </x:c>
      <x:c r="J5" s="553" t="n"/>
      <x:c r="K5" s="553" t="str">
        <x:f>IF(A5="","",I5-J5)</x:f>
      </x:c>
      <x:c r="L5" s="524"/>
      <x:c r="M5" s="524"/>
      <x:c r="N5" s="524"/>
      <x:c r="O5" s="524"/>
    </x:row>
    <x:row r="6">
      <x:c r="A6" s="524"/>
      <x:c r="B6" s="538" t="n"/>
      <x:c r="C6" s="524"/>
      <x:c r="D6" s="524"/>
      <x:c r="E6" s="524"/>
      <x:c r="F6" s="552" t="n"/>
      <x:c r="G6" s="551" t="n"/>
      <x:c r="H6" s="551" t="str">
        <x:f>IF(OR(A6="",F6="",F6=0,G6=""),"",G6/F6)</x:f>
      </x:c>
      <x:c r="I6" s="553" t="str">
        <x:f>IF(OR(A6="",F6=""),"",F6*1000)</x:f>
      </x:c>
      <x:c r="J6" s="553" t="n"/>
      <x:c r="K6" s="553" t="str">
        <x:f>IF(A6="","",I6-J6)</x:f>
      </x:c>
      <x:c r="L6" s="524"/>
      <x:c r="M6" s="524"/>
      <x:c r="N6" s="524"/>
      <x:c r="O6" s="524"/>
    </x:row>
    <x:row r="7">
      <x:c r="A7" s="524"/>
      <x:c r="B7" s="538" t="n"/>
      <x:c r="C7" s="524"/>
      <x:c r="D7" s="524"/>
      <x:c r="E7" s="524"/>
      <x:c r="F7" s="552" t="n"/>
      <x:c r="G7" s="551" t="n"/>
      <x:c r="H7" s="551" t="str">
        <x:f>IF(OR(A7="",F7="",F7=0,G7=""),"",G7/F7)</x:f>
      </x:c>
      <x:c r="I7" s="553" t="str">
        <x:f>IF(OR(A7="",F7=""),"",F7*1000)</x:f>
      </x:c>
      <x:c r="J7" s="553" t="n"/>
      <x:c r="K7" s="553" t="str">
        <x:f>IF(A7="","",I7-J7)</x:f>
      </x:c>
      <x:c r="L7" s="524"/>
      <x:c r="M7" s="524"/>
      <x:c r="N7" s="524"/>
      <x:c r="O7" s="524"/>
    </x:row>
    <x:row r="8">
      <x:c r="A8" s="524"/>
      <x:c r="B8" s="538" t="n"/>
      <x:c r="C8" s="524"/>
      <x:c r="D8" s="524"/>
      <x:c r="E8" s="524"/>
      <x:c r="F8" s="552" t="n"/>
      <x:c r="G8" s="551" t="n"/>
      <x:c r="H8" s="551" t="str">
        <x:f>IF(OR(A8="",F8="",F8=0,G8=""),"",G8/F8)</x:f>
      </x:c>
      <x:c r="I8" s="553" t="str">
        <x:f>IF(OR(A8="",F8=""),"",F8*1000)</x:f>
      </x:c>
      <x:c r="J8" s="553" t="n"/>
      <x:c r="K8" s="553" t="str">
        <x:f>IF(A8="","",I8-J8)</x:f>
      </x:c>
      <x:c r="L8" s="524"/>
      <x:c r="M8" s="524"/>
      <x:c r="N8" s="524"/>
      <x:c r="O8" s="524"/>
    </x:row>
    <x:row r="9">
      <x:c r="A9" s="524"/>
      <x:c r="B9" s="538" t="n"/>
      <x:c r="C9" s="524"/>
      <x:c r="D9" s="524"/>
      <x:c r="E9" s="524"/>
      <x:c r="F9" s="552" t="n"/>
      <x:c r="G9" s="551" t="n"/>
      <x:c r="H9" s="551" t="str">
        <x:f>IF(OR(A9="",F9="",F9=0,G9=""),"",G9/F9)</x:f>
      </x:c>
      <x:c r="I9" s="553" t="str">
        <x:f>IF(OR(A9="",F9=""),"",F9*1000)</x:f>
      </x:c>
      <x:c r="J9" s="553" t="n"/>
      <x:c r="K9" s="553" t="str">
        <x:f>IF(A9="","",I9-J9)</x:f>
      </x:c>
      <x:c r="L9" s="524"/>
      <x:c r="M9" s="524"/>
      <x:c r="N9" s="524"/>
      <x:c r="O9" s="524"/>
    </x:row>
    <x:row r="10">
      <x:c r="A10" s="524"/>
      <x:c r="B10" s="538" t="n"/>
      <x:c r="C10" s="524"/>
      <x:c r="D10" s="524"/>
      <x:c r="E10" s="524"/>
      <x:c r="F10" s="552" t="n"/>
      <x:c r="G10" s="551" t="n"/>
      <x:c r="H10" s="551" t="str">
        <x:f>IF(OR(A10="",F10="",F10=0,G10=""),"",G10/F10)</x:f>
      </x:c>
      <x:c r="I10" s="553" t="str">
        <x:f>IF(OR(A10="",F10=""),"",F10*1000)</x:f>
      </x:c>
      <x:c r="J10" s="553" t="n"/>
      <x:c r="K10" s="553" t="str">
        <x:f>IF(A10="","",I10-J10)</x:f>
      </x:c>
      <x:c r="L10" s="524"/>
      <x:c r="M10" s="524"/>
      <x:c r="N10" s="524"/>
      <x:c r="O10" s="524"/>
    </x:row>
    <x:row r="11">
      <x:c r="A11" s="524"/>
      <x:c r="B11" s="538" t="n"/>
      <x:c r="C11" s="524"/>
      <x:c r="D11" s="524"/>
      <x:c r="E11" s="524"/>
      <x:c r="F11" s="552" t="n"/>
      <x:c r="G11" s="551" t="n"/>
      <x:c r="H11" s="551" t="str">
        <x:f>IF(OR(A11="",F11="",F11=0,G11=""),"",G11/F11)</x:f>
      </x:c>
      <x:c r="I11" s="553" t="str">
        <x:f>IF(OR(A11="",F11=""),"",F11*1000)</x:f>
      </x:c>
      <x:c r="J11" s="553" t="n"/>
      <x:c r="K11" s="553" t="str">
        <x:f>IF(A11="","",I11-J11)</x:f>
      </x:c>
      <x:c r="L11" s="524"/>
      <x:c r="M11" s="524"/>
      <x:c r="N11" s="524"/>
      <x:c r="O11" s="524"/>
    </x:row>
    <x:row r="12">
      <x:c r="A12" s="524"/>
      <x:c r="B12" s="538" t="n"/>
      <x:c r="C12" s="524"/>
      <x:c r="D12" s="524"/>
      <x:c r="E12" s="524"/>
      <x:c r="F12" s="552" t="n"/>
      <x:c r="G12" s="551" t="n"/>
      <x:c r="H12" s="551" t="str">
        <x:f>IF(OR(A12="",F12="",F12=0,G12=""),"",G12/F12)</x:f>
      </x:c>
      <x:c r="I12" s="553" t="str">
        <x:f>IF(OR(A12="",F12=""),"",F12*1000)</x:f>
      </x:c>
      <x:c r="J12" s="553" t="n"/>
      <x:c r="K12" s="553" t="str">
        <x:f>IF(A12="","",I12-J12)</x:f>
      </x:c>
      <x:c r="L12" s="524"/>
      <x:c r="M12" s="524"/>
      <x:c r="N12" s="524"/>
      <x:c r="O12" s="524"/>
    </x:row>
    <x:row r="13">
      <x:c r="A13" s="524"/>
      <x:c r="B13" s="538" t="n"/>
      <x:c r="C13" s="524"/>
      <x:c r="D13" s="524"/>
      <x:c r="E13" s="524"/>
      <x:c r="F13" s="552" t="n"/>
      <x:c r="G13" s="551" t="n"/>
      <x:c r="H13" s="551" t="str">
        <x:f>IF(OR(A13="",F13="",F13=0,G13=""),"",G13/F13)</x:f>
      </x:c>
      <x:c r="I13" s="553" t="str">
        <x:f>IF(OR(A13="",F13=""),"",F13*1000)</x:f>
      </x:c>
      <x:c r="J13" s="553" t="n"/>
      <x:c r="K13" s="553" t="str">
        <x:f>IF(A13="","",I13-J13)</x:f>
      </x:c>
      <x:c r="L13" s="524"/>
      <x:c r="M13" s="524"/>
      <x:c r="N13" s="524"/>
      <x:c r="O13" s="524"/>
    </x:row>
    <x:row r="14">
      <x:c r="A14" s="524"/>
      <x:c r="B14" s="538" t="n"/>
      <x:c r="C14" s="524"/>
      <x:c r="D14" s="524"/>
      <x:c r="E14" s="524"/>
      <x:c r="F14" s="552" t="n"/>
      <x:c r="G14" s="551" t="n"/>
      <x:c r="H14" s="551" t="str">
        <x:f>IF(OR(A14="",F14="",F14=0,G14=""),"",G14/F14)</x:f>
      </x:c>
      <x:c r="I14" s="553" t="str">
        <x:f>IF(OR(A14="",F14=""),"",F14*1000)</x:f>
      </x:c>
      <x:c r="J14" s="553" t="n"/>
      <x:c r="K14" s="553" t="str">
        <x:f>IF(A14="","",I14-J14)</x:f>
      </x:c>
      <x:c r="L14" s="524"/>
      <x:c r="M14" s="524"/>
      <x:c r="N14" s="524"/>
      <x:c r="O14" s="524"/>
    </x:row>
    <x:row r="15">
      <x:c r="A15" s="524"/>
      <x:c r="B15" s="538" t="n"/>
      <x:c r="C15" s="524"/>
      <x:c r="D15" s="524"/>
      <x:c r="E15" s="524"/>
      <x:c r="F15" s="552" t="n"/>
      <x:c r="G15" s="551" t="n"/>
      <x:c r="H15" s="551" t="str">
        <x:f>IF(OR(A15="",F15="",F15=0,G15=""),"",G15/F15)</x:f>
      </x:c>
      <x:c r="I15" s="553" t="str">
        <x:f>IF(OR(A15="",F15=""),"",F15*1000)</x:f>
      </x:c>
      <x:c r="J15" s="553" t="n"/>
      <x:c r="K15" s="553" t="str">
        <x:f>IF(A15="","",I15-J15)</x:f>
      </x:c>
      <x:c r="L15" s="524"/>
      <x:c r="M15" s="524"/>
      <x:c r="N15" s="524"/>
      <x:c r="O15" s="524"/>
    </x:row>
    <x:row r="16">
      <x:c r="A16" s="524"/>
      <x:c r="B16" s="538" t="n"/>
      <x:c r="C16" s="524"/>
      <x:c r="D16" s="524"/>
      <x:c r="E16" s="524"/>
      <x:c r="F16" s="552" t="n"/>
      <x:c r="G16" s="551" t="n"/>
      <x:c r="H16" s="551" t="str">
        <x:f>IF(OR(A16="",F16="",F16=0,G16=""),"",G16/F16)</x:f>
      </x:c>
      <x:c r="I16" s="553" t="str">
        <x:f>IF(OR(A16="",F16=""),"",F16*1000)</x:f>
      </x:c>
      <x:c r="J16" s="553" t="n"/>
      <x:c r="K16" s="553" t="str">
        <x:f>IF(A16="","",I16-J16)</x:f>
      </x:c>
      <x:c r="L16" s="524"/>
      <x:c r="M16" s="524"/>
      <x:c r="N16" s="524"/>
      <x:c r="O16" s="524"/>
    </x:row>
    <x:row r="17">
      <x:c r="A17" s="524"/>
      <x:c r="B17" s="538" t="n"/>
      <x:c r="C17" s="524"/>
      <x:c r="D17" s="524"/>
      <x:c r="E17" s="524"/>
      <x:c r="F17" s="552" t="n"/>
      <x:c r="G17" s="551" t="n"/>
      <x:c r="H17" s="551" t="str">
        <x:f>IF(OR(A17="",F17="",F17=0,G17=""),"",G17/F17)</x:f>
      </x:c>
      <x:c r="I17" s="553" t="str">
        <x:f>IF(OR(A17="",F17=""),"",F17*1000)</x:f>
      </x:c>
      <x:c r="J17" s="553" t="n"/>
      <x:c r="K17" s="553" t="str">
        <x:f>IF(A17="","",I17-J17)</x:f>
      </x:c>
      <x:c r="L17" s="524"/>
      <x:c r="M17" s="524"/>
      <x:c r="N17" s="524"/>
      <x:c r="O17" s="524"/>
    </x:row>
    <x:row r="18">
      <x:c r="A18" s="524"/>
      <x:c r="B18" s="538" t="n"/>
      <x:c r="C18" s="524"/>
      <x:c r="D18" s="524"/>
      <x:c r="E18" s="524"/>
      <x:c r="F18" s="552" t="n"/>
      <x:c r="G18" s="551" t="n"/>
      <x:c r="H18" s="551" t="str">
        <x:f>IF(OR(A18="",F18="",F18=0,G18=""),"",G18/F18)</x:f>
      </x:c>
      <x:c r="I18" s="553" t="str">
        <x:f>IF(OR(A18="",F18=""),"",F18*1000)</x:f>
      </x:c>
      <x:c r="J18" s="553" t="n"/>
      <x:c r="K18" s="553" t="str">
        <x:f>IF(A18="","",I18-J18)</x:f>
      </x:c>
      <x:c r="L18" s="524"/>
      <x:c r="M18" s="524"/>
      <x:c r="N18" s="524"/>
      <x:c r="O18" s="524"/>
    </x:row>
    <x:row r="19">
      <x:c r="A19" s="524"/>
      <x:c r="B19" s="538" t="n"/>
      <x:c r="C19" s="524"/>
      <x:c r="D19" s="524"/>
      <x:c r="E19" s="524"/>
      <x:c r="F19" s="552" t="n"/>
      <x:c r="G19" s="551" t="n"/>
      <x:c r="H19" s="551" t="str">
        <x:f>IF(OR(A19="",F19="",F19=0,G19=""),"",G19/F19)</x:f>
      </x:c>
      <x:c r="I19" s="553" t="str">
        <x:f>IF(OR(A19="",F19=""),"",F19*1000)</x:f>
      </x:c>
      <x:c r="J19" s="553" t="n"/>
      <x:c r="K19" s="553" t="str">
        <x:f>IF(A19="","",I19-J19)</x:f>
      </x:c>
      <x:c r="L19" s="524"/>
      <x:c r="M19" s="524"/>
      <x:c r="N19" s="524"/>
      <x:c r="O19" s="524"/>
    </x:row>
    <x:row r="20">
      <x:c r="A20" s="524"/>
      <x:c r="B20" s="538" t="n"/>
      <x:c r="C20" s="524"/>
      <x:c r="D20" s="524"/>
      <x:c r="E20" s="524"/>
      <x:c r="F20" s="552" t="n"/>
      <x:c r="G20" s="551" t="n"/>
      <x:c r="H20" s="551" t="str">
        <x:f>IF(OR(A20="",F20="",F20=0,G20=""),"",G20/F20)</x:f>
      </x:c>
      <x:c r="I20" s="553" t="str">
        <x:f>IF(OR(A20="",F20=""),"",F20*1000)</x:f>
      </x:c>
      <x:c r="J20" s="553" t="n"/>
      <x:c r="K20" s="553" t="str">
        <x:f>IF(A20="","",I20-J20)</x:f>
      </x:c>
      <x:c r="L20" s="524"/>
      <x:c r="M20" s="524"/>
      <x:c r="N20" s="524"/>
      <x:c r="O20" s="524"/>
    </x:row>
    <x:row r="21">
      <x:c r="A21" s="524"/>
      <x:c r="B21" s="538" t="n"/>
      <x:c r="C21" s="524"/>
      <x:c r="D21" s="524"/>
      <x:c r="E21" s="524"/>
      <x:c r="F21" s="552" t="n"/>
      <x:c r="G21" s="551" t="n"/>
      <x:c r="H21" s="551" t="str">
        <x:f>IF(OR(A21="",F21="",F21=0,G21=""),"",G21/F21)</x:f>
      </x:c>
      <x:c r="I21" s="553" t="str">
        <x:f>IF(OR(A21="",F21=""),"",F21*1000)</x:f>
      </x:c>
      <x:c r="J21" s="553" t="n"/>
      <x:c r="K21" s="553" t="str">
        <x:f>IF(A21="","",I21-J21)</x:f>
      </x:c>
      <x:c r="L21" s="524"/>
      <x:c r="M21" s="524"/>
      <x:c r="N21" s="524"/>
      <x:c r="O21" s="524"/>
    </x:row>
    <x:row r="22">
      <x:c r="A22" s="524"/>
      <x:c r="B22" s="538" t="n"/>
      <x:c r="C22" s="524"/>
      <x:c r="D22" s="524"/>
      <x:c r="E22" s="524"/>
      <x:c r="F22" s="552" t="n"/>
      <x:c r="G22" s="551" t="n"/>
      <x:c r="H22" s="551" t="str">
        <x:f>IF(OR(A22="",F22="",F22=0,G22=""),"",G22/F22)</x:f>
      </x:c>
      <x:c r="I22" s="553" t="str">
        <x:f>IF(OR(A22="",F22=""),"",F22*1000)</x:f>
      </x:c>
      <x:c r="J22" s="553" t="n"/>
      <x:c r="K22" s="553" t="str">
        <x:f>IF(A22="","",I22-J22)</x:f>
      </x:c>
      <x:c r="L22" s="524"/>
      <x:c r="M22" s="524"/>
      <x:c r="N22" s="524"/>
      <x:c r="O22" s="524"/>
    </x:row>
    <x:row r="23">
      <x:c r="A23" s="524"/>
      <x:c r="B23" s="538" t="n"/>
      <x:c r="C23" s="524"/>
      <x:c r="D23" s="524"/>
      <x:c r="E23" s="524"/>
      <x:c r="F23" s="552" t="n"/>
      <x:c r="G23" s="551" t="n"/>
      <x:c r="H23" s="551" t="str">
        <x:f>IF(OR(A23="",F23="",F23=0,G23=""),"",G23/F23)</x:f>
      </x:c>
      <x:c r="I23" s="553" t="str">
        <x:f>IF(OR(A23="",F23=""),"",F23*1000)</x:f>
      </x:c>
      <x:c r="J23" s="553" t="n"/>
      <x:c r="K23" s="553" t="str">
        <x:f>IF(A23="","",I23-J23)</x:f>
      </x:c>
      <x:c r="L23" s="524"/>
      <x:c r="M23" s="524"/>
      <x:c r="N23" s="524"/>
      <x:c r="O23" s="524"/>
    </x:row>
    <x:row r="24">
      <x:c r="A24" s="524"/>
      <x:c r="B24" s="538" t="n"/>
      <x:c r="C24" s="524"/>
      <x:c r="D24" s="524"/>
      <x:c r="E24" s="524"/>
      <x:c r="F24" s="552" t="n"/>
      <x:c r="G24" s="551" t="n"/>
      <x:c r="H24" s="551" t="str">
        <x:f>IF(OR(A24="",F24="",F24=0,G24=""),"",G24/F24)</x:f>
      </x:c>
      <x:c r="I24" s="553" t="str">
        <x:f>IF(OR(A24="",F24=""),"",F24*1000)</x:f>
      </x:c>
      <x:c r="J24" s="553" t="n"/>
      <x:c r="K24" s="553" t="str">
        <x:f>IF(A24="","",I24-J24)</x:f>
      </x:c>
      <x:c r="L24" s="524"/>
      <x:c r="M24" s="524"/>
      <x:c r="N24" s="524"/>
      <x:c r="O24" s="524"/>
    </x:row>
    <x:row r="25">
      <x:c r="A25" s="524"/>
      <x:c r="B25" s="538" t="n"/>
      <x:c r="C25" s="524"/>
      <x:c r="D25" s="524"/>
      <x:c r="E25" s="524"/>
      <x:c r="F25" s="552" t="n"/>
      <x:c r="G25" s="551" t="n"/>
      <x:c r="H25" s="551" t="str">
        <x:f>IF(OR(A25="",F25="",F25=0,G25=""),"",G25/F25)</x:f>
      </x:c>
      <x:c r="I25" s="553" t="str">
        <x:f>IF(OR(A25="",F25=""),"",F25*1000)</x:f>
      </x:c>
      <x:c r="J25" s="553" t="n"/>
      <x:c r="K25" s="553" t="str">
        <x:f>IF(A25="","",I25-J25)</x:f>
      </x:c>
      <x:c r="L25" s="524"/>
      <x:c r="M25" s="524"/>
      <x:c r="N25" s="524"/>
      <x:c r="O25" s="524"/>
    </x:row>
    <x:row r="26">
      <x:c r="A26" s="524"/>
      <x:c r="B26" s="538" t="n"/>
      <x:c r="C26" s="524"/>
      <x:c r="D26" s="524"/>
      <x:c r="E26" s="524"/>
      <x:c r="F26" s="552" t="n"/>
      <x:c r="G26" s="551" t="n"/>
      <x:c r="H26" s="551" t="str">
        <x:f>IF(OR(A26="",F26="",F26=0,G26=""),"",G26/F26)</x:f>
      </x:c>
      <x:c r="I26" s="553" t="str">
        <x:f>IF(OR(A26="",F26=""),"",F26*1000)</x:f>
      </x:c>
      <x:c r="J26" s="553" t="n"/>
      <x:c r="K26" s="553" t="str">
        <x:f>IF(A26="","",I26-J26)</x:f>
      </x:c>
      <x:c r="L26" s="524"/>
      <x:c r="M26" s="524"/>
      <x:c r="N26" s="524"/>
      <x:c r="O26" s="524"/>
    </x:row>
    <x:row r="27">
      <x:c r="A27" s="524"/>
      <x:c r="B27" s="538" t="n"/>
      <x:c r="C27" s="524"/>
      <x:c r="D27" s="524"/>
      <x:c r="E27" s="524"/>
      <x:c r="F27" s="552" t="n"/>
      <x:c r="G27" s="551" t="n"/>
      <x:c r="H27" s="551" t="str">
        <x:f>IF(OR(A27="",F27="",F27=0,G27=""),"",G27/F27)</x:f>
      </x:c>
      <x:c r="I27" s="553" t="str">
        <x:f>IF(OR(A27="",F27=""),"",F27*1000)</x:f>
      </x:c>
      <x:c r="J27" s="553" t="n"/>
      <x:c r="K27" s="553" t="str">
        <x:f>IF(A27="","",I27-J27)</x:f>
      </x:c>
      <x:c r="L27" s="524"/>
      <x:c r="M27" s="524"/>
      <x:c r="N27" s="524"/>
      <x:c r="O27" s="524"/>
    </x:row>
    <x:row r="28">
      <x:c r="A28" s="524"/>
      <x:c r="B28" s="538" t="n"/>
      <x:c r="C28" s="524"/>
      <x:c r="D28" s="524"/>
      <x:c r="E28" s="524"/>
      <x:c r="F28" s="552" t="n"/>
      <x:c r="G28" s="551" t="n"/>
      <x:c r="H28" s="551" t="str">
        <x:f>IF(OR(A28="",F28="",F28=0,G28=""),"",G28/F28)</x:f>
      </x:c>
      <x:c r="I28" s="553" t="str">
        <x:f>IF(OR(A28="",F28=""),"",F28*1000)</x:f>
      </x:c>
      <x:c r="J28" s="553" t="n"/>
      <x:c r="K28" s="553" t="str">
        <x:f>IF(A28="","",I28-J28)</x:f>
      </x:c>
      <x:c r="L28" s="524"/>
      <x:c r="M28" s="524"/>
      <x:c r="N28" s="524"/>
      <x:c r="O28" s="524"/>
    </x:row>
    <x:row r="29">
      <x:c r="A29" s="524"/>
      <x:c r="B29" s="538" t="n"/>
      <x:c r="C29" s="524"/>
      <x:c r="D29" s="524"/>
      <x:c r="E29" s="524"/>
      <x:c r="F29" s="552" t="n"/>
      <x:c r="G29" s="551" t="n"/>
      <x:c r="H29" s="551" t="str">
        <x:f>IF(OR(A29="",F29="",F29=0,G29=""),"",G29/F29)</x:f>
      </x:c>
      <x:c r="I29" s="553" t="str">
        <x:f>IF(OR(A29="",F29=""),"",F29*1000)</x:f>
      </x:c>
      <x:c r="J29" s="553" t="n"/>
      <x:c r="K29" s="553" t="str">
        <x:f>IF(A29="","",I29-J29)</x:f>
      </x:c>
      <x:c r="L29" s="524"/>
      <x:c r="M29" s="524"/>
      <x:c r="N29" s="524"/>
      <x:c r="O29" s="524"/>
    </x:row>
    <x:row r="30">
      <x:c r="A30" s="524"/>
      <x:c r="B30" s="538" t="n"/>
      <x:c r="C30" s="524"/>
      <x:c r="D30" s="524"/>
      <x:c r="E30" s="524"/>
      <x:c r="F30" s="552" t="n"/>
      <x:c r="G30" s="551" t="n"/>
      <x:c r="H30" s="551" t="str">
        <x:f>IF(OR(A30="",F30="",F30=0,G30=""),"",G30/F30)</x:f>
      </x:c>
      <x:c r="I30" s="553" t="str">
        <x:f>IF(OR(A30="",F30=""),"",F30*1000)</x:f>
      </x:c>
      <x:c r="J30" s="553" t="n"/>
      <x:c r="K30" s="553" t="str">
        <x:f>IF(A30="","",I30-J30)</x:f>
      </x:c>
      <x:c r="L30" s="524"/>
      <x:c r="M30" s="524"/>
      <x:c r="N30" s="524"/>
      <x:c r="O30" s="524"/>
    </x:row>
    <x:row r="31">
      <x:c r="A31" s="524"/>
      <x:c r="B31" s="538" t="n"/>
      <x:c r="C31" s="524"/>
      <x:c r="D31" s="524"/>
      <x:c r="E31" s="524"/>
      <x:c r="F31" s="552" t="n"/>
      <x:c r="G31" s="551" t="n"/>
      <x:c r="H31" s="551" t="str">
        <x:f>IF(OR(A31="",F31="",F31=0,G31=""),"",G31/F31)</x:f>
      </x:c>
      <x:c r="I31" s="553" t="str">
        <x:f>IF(OR(A31="",F31=""),"",F31*1000)</x:f>
      </x:c>
      <x:c r="J31" s="553" t="n"/>
      <x:c r="K31" s="553" t="str">
        <x:f>IF(A31="","",I31-J31)</x:f>
      </x:c>
      <x:c r="L31" s="524"/>
      <x:c r="M31" s="524"/>
      <x:c r="N31" s="524"/>
      <x:c r="O31" s="524"/>
    </x:row>
    <x:row r="32">
      <x:c r="A32" s="524"/>
      <x:c r="B32" s="538" t="n"/>
      <x:c r="C32" s="524"/>
      <x:c r="D32" s="524"/>
      <x:c r="E32" s="524"/>
      <x:c r="F32" s="552" t="n"/>
      <x:c r="G32" s="551" t="n"/>
      <x:c r="H32" s="551" t="str">
        <x:f>IF(OR(A32="",F32="",F32=0,G32=""),"",G32/F32)</x:f>
      </x:c>
      <x:c r="I32" s="553" t="str">
        <x:f>IF(OR(A32="",F32=""),"",F32*1000)</x:f>
      </x:c>
      <x:c r="J32" s="553" t="n"/>
      <x:c r="K32" s="553" t="str">
        <x:f>IF(A32="","",I32-J32)</x:f>
      </x:c>
      <x:c r="L32" s="524"/>
      <x:c r="M32" s="524"/>
      <x:c r="N32" s="524"/>
      <x:c r="O32" s="524"/>
    </x:row>
    <x:row r="33">
      <x:c r="A33" s="524"/>
      <x:c r="B33" s="538" t="n"/>
      <x:c r="C33" s="524"/>
      <x:c r="D33" s="524"/>
      <x:c r="E33" s="524"/>
      <x:c r="F33" s="552" t="n"/>
      <x:c r="G33" s="551" t="n"/>
      <x:c r="H33" s="551" t="str">
        <x:f>IF(OR(A33="",F33="",F33=0,G33=""),"",G33/F33)</x:f>
      </x:c>
      <x:c r="I33" s="553" t="str">
        <x:f>IF(OR(A33="",F33=""),"",F33*1000)</x:f>
      </x:c>
      <x:c r="J33" s="553" t="n"/>
      <x:c r="K33" s="553" t="str">
        <x:f>IF(A33="","",I33-J33)</x:f>
      </x:c>
      <x:c r="L33" s="524"/>
      <x:c r="M33" s="524"/>
      <x:c r="N33" s="524"/>
      <x:c r="O33" s="524"/>
    </x:row>
    <x:row r="34">
      <x:c r="A34" s="524"/>
      <x:c r="B34" s="538" t="n"/>
      <x:c r="C34" s="524"/>
      <x:c r="D34" s="524"/>
      <x:c r="E34" s="524"/>
      <x:c r="F34" s="552" t="n"/>
      <x:c r="G34" s="551" t="n"/>
      <x:c r="H34" s="551" t="str">
        <x:f>IF(OR(A34="",F34="",F34=0,G34=""),"",G34/F34)</x:f>
      </x:c>
      <x:c r="I34" s="553" t="str">
        <x:f>IF(OR(A34="",F34=""),"",F34*1000)</x:f>
      </x:c>
      <x:c r="J34" s="553" t="n"/>
      <x:c r="K34" s="553" t="str">
        <x:f>IF(A34="","",I34-J34)</x:f>
      </x:c>
      <x:c r="L34" s="524"/>
      <x:c r="M34" s="524"/>
      <x:c r="N34" s="524"/>
      <x:c r="O34" s="524"/>
    </x:row>
    <x:row r="35">
      <x:c r="A35" s="524"/>
      <x:c r="B35" s="538" t="n"/>
      <x:c r="C35" s="524"/>
      <x:c r="D35" s="524"/>
      <x:c r="E35" s="524"/>
      <x:c r="F35" s="552" t="n"/>
      <x:c r="G35" s="551" t="n"/>
      <x:c r="H35" s="551" t="str">
        <x:f>IF(OR(A35="",F35="",F35=0,G35=""),"",G35/F35)</x:f>
      </x:c>
      <x:c r="I35" s="553" t="str">
        <x:f>IF(OR(A35="",F35=""),"",F35*1000)</x:f>
      </x:c>
      <x:c r="J35" s="553" t="n"/>
      <x:c r="K35" s="553" t="str">
        <x:f>IF(A35="","",I35-J35)</x:f>
      </x:c>
      <x:c r="L35" s="524"/>
      <x:c r="M35" s="524"/>
      <x:c r="N35" s="524"/>
      <x:c r="O35" s="524"/>
    </x:row>
    <x:row r="36">
      <x:c r="A36" s="524"/>
      <x:c r="B36" s="538" t="n"/>
      <x:c r="C36" s="524"/>
      <x:c r="D36" s="524"/>
      <x:c r="E36" s="524"/>
      <x:c r="F36" s="552" t="n"/>
      <x:c r="G36" s="551" t="n"/>
      <x:c r="H36" s="551" t="str">
        <x:f>IF(OR(A36="",F36="",F36=0,G36=""),"",G36/F36)</x:f>
      </x:c>
      <x:c r="I36" s="553" t="str">
        <x:f>IF(OR(A36="",F36=""),"",F36*1000)</x:f>
      </x:c>
      <x:c r="J36" s="553" t="n"/>
      <x:c r="K36" s="553" t="str">
        <x:f>IF(A36="","",I36-J36)</x:f>
      </x:c>
      <x:c r="L36" s="524"/>
      <x:c r="M36" s="524"/>
      <x:c r="N36" s="524"/>
      <x:c r="O36" s="524"/>
    </x:row>
    <x:row r="37">
      <x:c r="A37" s="524"/>
      <x:c r="B37" s="538" t="n"/>
      <x:c r="C37" s="524"/>
      <x:c r="D37" s="524"/>
      <x:c r="E37" s="524"/>
      <x:c r="F37" s="552" t="n"/>
      <x:c r="G37" s="551" t="n"/>
      <x:c r="H37" s="551" t="str">
        <x:f>IF(OR(A37="",F37="",F37=0,G37=""),"",G37/F37)</x:f>
      </x:c>
      <x:c r="I37" s="553" t="str">
        <x:f>IF(OR(A37="",F37=""),"",F37*1000)</x:f>
      </x:c>
      <x:c r="J37" s="553" t="n"/>
      <x:c r="K37" s="553" t="str">
        <x:f>IF(A37="","",I37-J37)</x:f>
      </x:c>
      <x:c r="L37" s="524"/>
      <x:c r="M37" s="524"/>
      <x:c r="N37" s="524"/>
      <x:c r="O37" s="524"/>
    </x:row>
    <x:row r="38">
      <x:c r="A38" s="524"/>
      <x:c r="B38" s="538" t="n"/>
      <x:c r="C38" s="524"/>
      <x:c r="D38" s="524"/>
      <x:c r="E38" s="524"/>
      <x:c r="F38" s="552" t="n"/>
      <x:c r="G38" s="551" t="n"/>
      <x:c r="H38" s="551" t="str">
        <x:f>IF(OR(A38="",F38="",F38=0,G38=""),"",G38/F38)</x:f>
      </x:c>
      <x:c r="I38" s="553" t="str">
        <x:f>IF(OR(A38="",F38=""),"",F38*1000)</x:f>
      </x:c>
      <x:c r="J38" s="553" t="n"/>
      <x:c r="K38" s="553" t="str">
        <x:f>IF(A38="","",I38-J38)</x:f>
      </x:c>
      <x:c r="L38" s="524"/>
      <x:c r="M38" s="524"/>
      <x:c r="N38" s="524"/>
      <x:c r="O38" s="524"/>
    </x:row>
    <x:row r="39">
      <x:c r="A39" s="524"/>
      <x:c r="B39" s="538" t="n"/>
      <x:c r="C39" s="524"/>
      <x:c r="D39" s="524"/>
      <x:c r="E39" s="524"/>
      <x:c r="F39" s="552" t="n"/>
      <x:c r="G39" s="551" t="n"/>
      <x:c r="H39" s="551" t="str">
        <x:f>IF(OR(A39="",F39="",F39=0,G39=""),"",G39/F39)</x:f>
      </x:c>
      <x:c r="I39" s="553" t="str">
        <x:f>IF(OR(A39="",F39=""),"",F39*1000)</x:f>
      </x:c>
      <x:c r="J39" s="553" t="n"/>
      <x:c r="K39" s="553" t="str">
        <x:f>IF(A39="","",I39-J39)</x:f>
      </x:c>
      <x:c r="L39" s="524"/>
      <x:c r="M39" s="524"/>
      <x:c r="N39" s="524"/>
      <x:c r="O39" s="524"/>
    </x:row>
    <x:row r="40">
      <x:c r="A40" s="524"/>
      <x:c r="B40" s="538" t="n"/>
      <x:c r="C40" s="524"/>
      <x:c r="D40" s="524"/>
      <x:c r="E40" s="524"/>
      <x:c r="F40" s="552" t="n"/>
      <x:c r="G40" s="551" t="n"/>
      <x:c r="H40" s="551" t="str">
        <x:f>IF(OR(A40="",F40="",F40=0,G40=""),"",G40/F40)</x:f>
      </x:c>
      <x:c r="I40" s="553" t="str">
        <x:f>IF(OR(A40="",F40=""),"",F40*1000)</x:f>
      </x:c>
      <x:c r="J40" s="553" t="n"/>
      <x:c r="K40" s="553" t="str">
        <x:f>IF(A40="","",I40-J40)</x:f>
      </x:c>
      <x:c r="L40" s="524"/>
      <x:c r="M40" s="524"/>
      <x:c r="N40" s="524"/>
      <x:c r="O40" s="524"/>
    </x:row>
    <x:row r="41">
      <x:c r="A41" s="524"/>
      <x:c r="B41" s="538" t="n"/>
      <x:c r="C41" s="524"/>
      <x:c r="D41" s="524"/>
      <x:c r="E41" s="524"/>
      <x:c r="F41" s="552" t="n"/>
      <x:c r="G41" s="551" t="n"/>
      <x:c r="H41" s="551" t="str">
        <x:f>IF(OR(A41="",F41="",F41=0,G41=""),"",G41/F41)</x:f>
      </x:c>
      <x:c r="I41" s="553" t="str">
        <x:f>IF(OR(A41="",F41=""),"",F41*1000)</x:f>
      </x:c>
      <x:c r="J41" s="553" t="n"/>
      <x:c r="K41" s="553" t="str">
        <x:f>IF(A41="","",I41-J41)</x:f>
      </x:c>
      <x:c r="L41" s="524"/>
      <x:c r="M41" s="524"/>
      <x:c r="N41" s="524"/>
      <x:c r="O41" s="524"/>
    </x:row>
    <x:row r="42">
      <x:c r="A42" s="524"/>
      <x:c r="B42" s="538" t="n"/>
      <x:c r="C42" s="524"/>
      <x:c r="D42" s="524"/>
      <x:c r="E42" s="524"/>
      <x:c r="F42" s="552" t="n"/>
      <x:c r="G42" s="551" t="n"/>
      <x:c r="H42" s="551" t="str">
        <x:f>IF(OR(A42="",F42="",F42=0,G42=""),"",G42/F42)</x:f>
      </x:c>
      <x:c r="I42" s="553" t="str">
        <x:f>IF(OR(A42="",F42=""),"",F42*1000)</x:f>
      </x:c>
      <x:c r="J42" s="553" t="n"/>
      <x:c r="K42" s="553" t="str">
        <x:f>IF(A42="","",I42-J42)</x:f>
      </x:c>
      <x:c r="L42" s="524"/>
      <x:c r="M42" s="524"/>
      <x:c r="N42" s="524"/>
      <x:c r="O42" s="524"/>
    </x:row>
    <x:row r="43">
      <x:c r="A43" s="524"/>
      <x:c r="B43" s="538" t="n"/>
      <x:c r="C43" s="524"/>
      <x:c r="D43" s="524"/>
      <x:c r="E43" s="524"/>
      <x:c r="F43" s="552" t="n"/>
      <x:c r="G43" s="551" t="n"/>
      <x:c r="H43" s="551" t="str">
        <x:f>IF(OR(A43="",F43="",F43=0,G43=""),"",G43/F43)</x:f>
      </x:c>
      <x:c r="I43" s="553" t="str">
        <x:f>IF(OR(A43="",F43=""),"",F43*1000)</x:f>
      </x:c>
      <x:c r="J43" s="553" t="n"/>
      <x:c r="K43" s="553" t="str">
        <x:f>IF(A43="","",I43-J43)</x:f>
      </x:c>
      <x:c r="L43" s="524"/>
      <x:c r="M43" s="524"/>
      <x:c r="N43" s="524"/>
      <x:c r="O43" s="524"/>
    </x:row>
    <x:row r="44">
      <x:c r="A44" s="524"/>
      <x:c r="B44" s="538" t="n"/>
      <x:c r="C44" s="524"/>
      <x:c r="D44" s="524"/>
      <x:c r="E44" s="524"/>
      <x:c r="F44" s="552" t="n"/>
      <x:c r="G44" s="551" t="n"/>
      <x:c r="H44" s="551" t="str">
        <x:f>IF(OR(A44="",F44="",F44=0,G44=""),"",G44/F44)</x:f>
      </x:c>
      <x:c r="I44" s="553" t="str">
        <x:f>IF(OR(A44="",F44=""),"",F44*1000)</x:f>
      </x:c>
      <x:c r="J44" s="553" t="n"/>
      <x:c r="K44" s="553" t="str">
        <x:f>IF(A44="","",I44-J44)</x:f>
      </x:c>
      <x:c r="L44" s="524"/>
      <x:c r="M44" s="524"/>
      <x:c r="N44" s="524"/>
      <x:c r="O44" s="524"/>
    </x:row>
    <x:row r="45">
      <x:c r="A45" s="524"/>
      <x:c r="B45" s="538" t="n"/>
      <x:c r="C45" s="524"/>
      <x:c r="D45" s="524"/>
      <x:c r="E45" s="524"/>
      <x:c r="F45" s="552" t="n"/>
      <x:c r="G45" s="551" t="n"/>
      <x:c r="H45" s="551" t="str">
        <x:f>IF(OR(A45="",F45="",F45=0,G45=""),"",G45/F45)</x:f>
      </x:c>
      <x:c r="I45" s="553" t="str">
        <x:f>IF(OR(A45="",F45=""),"",F45*1000)</x:f>
      </x:c>
      <x:c r="J45" s="553" t="n"/>
      <x:c r="K45" s="553" t="str">
        <x:f>IF(A45="","",I45-J45)</x:f>
      </x:c>
      <x:c r="L45" s="524"/>
      <x:c r="M45" s="524"/>
      <x:c r="N45" s="524"/>
      <x:c r="O45" s="524"/>
    </x:row>
    <x:row r="46">
      <x:c r="A46" s="524"/>
      <x:c r="B46" s="538" t="n"/>
      <x:c r="C46" s="524"/>
      <x:c r="D46" s="524"/>
      <x:c r="E46" s="524"/>
      <x:c r="F46" s="552" t="n"/>
      <x:c r="G46" s="551" t="n"/>
      <x:c r="H46" s="551" t="str">
        <x:f>IF(OR(A46="",F46="",F46=0,G46=""),"",G46/F46)</x:f>
      </x:c>
      <x:c r="I46" s="553" t="str">
        <x:f>IF(OR(A46="",F46=""),"",F46*1000)</x:f>
      </x:c>
      <x:c r="J46" s="553" t="n"/>
      <x:c r="K46" s="553" t="str">
        <x:f>IF(A46="","",I46-J46)</x:f>
      </x:c>
      <x:c r="L46" s="524"/>
      <x:c r="M46" s="524"/>
      <x:c r="N46" s="524"/>
      <x:c r="O46" s="524"/>
    </x:row>
    <x:row r="47">
      <x:c r="A47" s="524"/>
      <x:c r="B47" s="538" t="n"/>
      <x:c r="C47" s="524"/>
      <x:c r="D47" s="524"/>
      <x:c r="E47" s="524"/>
      <x:c r="F47" s="552" t="n"/>
      <x:c r="G47" s="551" t="n"/>
      <x:c r="H47" s="551" t="str">
        <x:f>IF(OR(A47="",F47="",F47=0,G47=""),"",G47/F47)</x:f>
      </x:c>
      <x:c r="I47" s="553" t="str">
        <x:f>IF(OR(A47="",F47=""),"",F47*1000)</x:f>
      </x:c>
      <x:c r="J47" s="553" t="n"/>
      <x:c r="K47" s="553" t="str">
        <x:f>IF(A47="","",I47-J47)</x:f>
      </x:c>
      <x:c r="L47" s="524"/>
      <x:c r="M47" s="524"/>
      <x:c r="N47" s="524"/>
      <x:c r="O47" s="524"/>
    </x:row>
    <x:row r="48">
      <x:c r="A48" s="524"/>
      <x:c r="B48" s="538" t="n"/>
      <x:c r="C48" s="524"/>
      <x:c r="D48" s="524"/>
      <x:c r="E48" s="524"/>
      <x:c r="F48" s="552" t="n"/>
      <x:c r="G48" s="551" t="n"/>
      <x:c r="H48" s="551" t="str">
        <x:f>IF(OR(A48="",F48="",F48=0,G48=""),"",G48/F48)</x:f>
      </x:c>
      <x:c r="I48" s="553" t="str">
        <x:f>IF(OR(A48="",F48=""),"",F48*1000)</x:f>
      </x:c>
      <x:c r="J48" s="553" t="n"/>
      <x:c r="K48" s="553" t="str">
        <x:f>IF(A48="","",I48-J48)</x:f>
      </x:c>
      <x:c r="L48" s="524"/>
      <x:c r="M48" s="524"/>
      <x:c r="N48" s="524"/>
      <x:c r="O48" s="524"/>
    </x:row>
    <x:row r="49">
      <x:c r="A49" s="524"/>
      <x:c r="B49" s="538" t="n"/>
      <x:c r="C49" s="524"/>
      <x:c r="D49" s="524"/>
      <x:c r="E49" s="524"/>
      <x:c r="F49" s="552" t="n"/>
      <x:c r="G49" s="551" t="n"/>
      <x:c r="H49" s="551" t="str">
        <x:f>IF(OR(A49="",F49="",F49=0,G49=""),"",G49/F49)</x:f>
      </x:c>
      <x:c r="I49" s="553" t="str">
        <x:f>IF(OR(A49="",F49=""),"",F49*1000)</x:f>
      </x:c>
      <x:c r="J49" s="553" t="n"/>
      <x:c r="K49" s="553" t="str">
        <x:f>IF(A49="","",I49-J49)</x:f>
      </x:c>
      <x:c r="L49" s="524"/>
      <x:c r="M49" s="524"/>
      <x:c r="N49" s="524"/>
      <x:c r="O49" s="524"/>
    </x:row>
    <x:row r="50">
      <x:c r="A50" s="524"/>
      <x:c r="B50" s="538" t="n"/>
      <x:c r="C50" s="524"/>
      <x:c r="D50" s="524"/>
      <x:c r="E50" s="524"/>
      <x:c r="F50" s="552" t="n"/>
      <x:c r="G50" s="551" t="n"/>
      <x:c r="H50" s="551" t="str">
        <x:f>IF(OR(A50="",F50="",F50=0,G50=""),"",G50/F50)</x:f>
      </x:c>
      <x:c r="I50" s="553" t="str">
        <x:f>IF(OR(A50="",F50=""),"",F50*1000)</x:f>
      </x:c>
      <x:c r="J50" s="553" t="n"/>
      <x:c r="K50" s="553" t="str">
        <x:f>IF(A50="","",I50-J50)</x:f>
      </x:c>
      <x:c r="L50" s="524"/>
      <x:c r="M50" s="524"/>
      <x:c r="N50" s="524"/>
      <x:c r="O50" s="524"/>
    </x:row>
    <x:row r="51">
      <x:c r="A51" s="524"/>
      <x:c r="B51" s="538" t="n"/>
      <x:c r="C51" s="524"/>
      <x:c r="D51" s="524"/>
      <x:c r="E51" s="524"/>
      <x:c r="F51" s="552" t="n"/>
      <x:c r="G51" s="551" t="n"/>
      <x:c r="H51" s="551" t="str">
        <x:f>IF(OR(A51="",F51="",F51=0,G51=""),"",G51/F51)</x:f>
      </x:c>
      <x:c r="I51" s="553" t="str">
        <x:f>IF(OR(A51="",F51=""),"",F51*1000)</x:f>
      </x:c>
      <x:c r="J51" s="553" t="n"/>
      <x:c r="K51" s="553" t="str">
        <x:f>IF(A51="","",I51-J51)</x:f>
      </x:c>
      <x:c r="L51" s="524"/>
      <x:c r="M51" s="524"/>
      <x:c r="N51" s="524"/>
      <x:c r="O51" s="524"/>
    </x:row>
    <x:row r="52">
      <x:c r="A52" s="524"/>
      <x:c r="B52" s="538" t="n"/>
      <x:c r="C52" s="524"/>
      <x:c r="D52" s="524"/>
      <x:c r="E52" s="524"/>
      <x:c r="F52" s="552" t="n"/>
      <x:c r="G52" s="551" t="n"/>
      <x:c r="H52" s="551" t="str">
        <x:f>IF(OR(A52="",F52="",F52=0,G52=""),"",G52/F52)</x:f>
      </x:c>
      <x:c r="I52" s="553" t="str">
        <x:f>IF(OR(A52="",F52=""),"",F52*1000)</x:f>
      </x:c>
      <x:c r="J52" s="553" t="n"/>
      <x:c r="K52" s="553" t="str">
        <x:f>IF(A52="","",I52-J52)</x:f>
      </x:c>
      <x:c r="L52" s="524"/>
      <x:c r="M52" s="524"/>
      <x:c r="N52" s="524"/>
      <x:c r="O52" s="524"/>
    </x:row>
    <x:row r="53">
      <x:c r="A53" s="524"/>
      <x:c r="B53" s="538" t="n"/>
      <x:c r="C53" s="524"/>
      <x:c r="D53" s="524"/>
      <x:c r="E53" s="524"/>
      <x:c r="F53" s="552" t="n"/>
      <x:c r="G53" s="551" t="n"/>
      <x:c r="H53" s="551" t="str">
        <x:f>IF(OR(A53="",F53="",F53=0,G53=""),"",G53/F53)</x:f>
      </x:c>
      <x:c r="I53" s="553" t="str">
        <x:f>IF(OR(A53="",F53=""),"",F53*1000)</x:f>
      </x:c>
      <x:c r="J53" s="553" t="n"/>
      <x:c r="K53" s="553" t="str">
        <x:f>IF(A53="","",I53-J53)</x:f>
      </x:c>
      <x:c r="L53" s="524"/>
      <x:c r="M53" s="524"/>
      <x:c r="N53" s="524"/>
      <x:c r="O53" s="524"/>
    </x:row>
    <x:row r="54">
      <x:c r="A54" s="524"/>
      <x:c r="B54" s="538" t="n"/>
      <x:c r="C54" s="524"/>
      <x:c r="D54" s="524"/>
      <x:c r="E54" s="524"/>
      <x:c r="F54" s="552" t="n"/>
      <x:c r="G54" s="551" t="n"/>
      <x:c r="H54" s="551" t="str">
        <x:f>IF(OR(A54="",F54="",F54=0,G54=""),"",G54/F54)</x:f>
      </x:c>
      <x:c r="I54" s="553" t="str">
        <x:f>IF(OR(A54="",F54=""),"",F54*1000)</x:f>
      </x:c>
      <x:c r="J54" s="553" t="n"/>
      <x:c r="K54" s="553" t="str">
        <x:f>IF(A54="","",I54-J54)</x:f>
      </x:c>
      <x:c r="L54" s="524"/>
      <x:c r="M54" s="524"/>
      <x:c r="N54" s="524"/>
      <x:c r="O54" s="524"/>
    </x:row>
    <x:row r="55">
      <x:c r="A55" s="524"/>
      <x:c r="B55" s="538" t="n"/>
      <x:c r="C55" s="524"/>
      <x:c r="D55" s="524"/>
      <x:c r="E55" s="524"/>
      <x:c r="F55" s="552" t="n"/>
      <x:c r="G55" s="551" t="n"/>
      <x:c r="H55" s="551" t="str">
        <x:f>IF(OR(A55="",F55="",F55=0,G55=""),"",G55/F55)</x:f>
      </x:c>
      <x:c r="I55" s="553" t="str">
        <x:f>IF(OR(A55="",F55=""),"",F55*1000)</x:f>
      </x:c>
      <x:c r="J55" s="553" t="n"/>
      <x:c r="K55" s="553" t="str">
        <x:f>IF(A55="","",I55-J55)</x:f>
      </x:c>
      <x:c r="L55" s="524"/>
      <x:c r="M55" s="524"/>
      <x:c r="N55" s="524"/>
      <x:c r="O55" s="524"/>
    </x:row>
    <x:row r="56">
      <x:c r="A56" s="524"/>
      <x:c r="B56" s="538" t="n"/>
      <x:c r="C56" s="524"/>
      <x:c r="D56" s="524"/>
      <x:c r="E56" s="524"/>
      <x:c r="F56" s="552" t="n"/>
      <x:c r="G56" s="551" t="n"/>
      <x:c r="H56" s="551" t="str">
        <x:f>IF(OR(A56="",F56="",F56=0,G56=""),"",G56/F56)</x:f>
      </x:c>
      <x:c r="I56" s="553" t="str">
        <x:f>IF(OR(A56="",F56=""),"",F56*1000)</x:f>
      </x:c>
      <x:c r="J56" s="553" t="n"/>
      <x:c r="K56" s="553" t="str">
        <x:f>IF(A56="","",I56-J56)</x:f>
      </x:c>
      <x:c r="L56" s="524"/>
      <x:c r="M56" s="524"/>
      <x:c r="N56" s="524"/>
      <x:c r="O56" s="524"/>
    </x:row>
    <x:row r="57">
      <x:c r="A57" s="524"/>
      <x:c r="B57" s="538" t="n"/>
      <x:c r="C57" s="524"/>
      <x:c r="D57" s="524"/>
      <x:c r="E57" s="524"/>
      <x:c r="F57" s="552" t="n"/>
      <x:c r="G57" s="551" t="n"/>
      <x:c r="H57" s="551" t="str">
        <x:f>IF(OR(A57="",F57="",F57=0,G57=""),"",G57/F57)</x:f>
      </x:c>
      <x:c r="I57" s="553" t="str">
        <x:f>IF(OR(A57="",F57=""),"",F57*1000)</x:f>
      </x:c>
      <x:c r="J57" s="553" t="n"/>
      <x:c r="K57" s="553" t="str">
        <x:f>IF(A57="","",I57-J57)</x:f>
      </x:c>
      <x:c r="L57" s="524"/>
      <x:c r="M57" s="524"/>
      <x:c r="N57" s="524"/>
      <x:c r="O57" s="524"/>
    </x:row>
    <x:row r="58">
      <x:c r="A58" s="524"/>
      <x:c r="B58" s="538" t="n"/>
      <x:c r="C58" s="524"/>
      <x:c r="D58" s="524"/>
      <x:c r="E58" s="524"/>
      <x:c r="F58" s="552" t="n"/>
      <x:c r="G58" s="551" t="n"/>
      <x:c r="H58" s="551" t="str">
        <x:f>IF(OR(A58="",F58="",F58=0,G58=""),"",G58/F58)</x:f>
      </x:c>
      <x:c r="I58" s="553" t="str">
        <x:f>IF(OR(A58="",F58=""),"",F58*1000)</x:f>
      </x:c>
      <x:c r="J58" s="553" t="n"/>
      <x:c r="K58" s="553" t="str">
        <x:f>IF(A58="","",I58-J58)</x:f>
      </x:c>
      <x:c r="L58" s="524"/>
      <x:c r="M58" s="524"/>
      <x:c r="N58" s="524"/>
      <x:c r="O58" s="524"/>
    </x:row>
    <x:row r="59">
      <x:c r="A59" s="524"/>
      <x:c r="B59" s="538" t="n"/>
      <x:c r="C59" s="524"/>
      <x:c r="D59" s="524"/>
      <x:c r="E59" s="524"/>
      <x:c r="F59" s="552" t="n"/>
      <x:c r="G59" s="551" t="n"/>
      <x:c r="H59" s="551" t="str">
        <x:f>IF(OR(A59="",F59="",F59=0,G59=""),"",G59/F59)</x:f>
      </x:c>
      <x:c r="I59" s="553" t="str">
        <x:f>IF(OR(A59="",F59=""),"",F59*1000)</x:f>
      </x:c>
      <x:c r="J59" s="553" t="n"/>
      <x:c r="K59" s="553" t="str">
        <x:f>IF(A59="","",I59-J59)</x:f>
      </x:c>
      <x:c r="L59" s="524"/>
      <x:c r="M59" s="524"/>
      <x:c r="N59" s="524"/>
      <x:c r="O59" s="524"/>
    </x:row>
    <x:row r="60">
      <x:c r="A60" s="524"/>
      <x:c r="B60" s="538" t="n"/>
      <x:c r="C60" s="524"/>
      <x:c r="D60" s="524"/>
      <x:c r="E60" s="524"/>
      <x:c r="F60" s="552" t="n"/>
      <x:c r="G60" s="551" t="n"/>
      <x:c r="H60" s="551" t="str">
        <x:f>IF(OR(A60="",F60="",F60=0,G60=""),"",G60/F60)</x:f>
      </x:c>
      <x:c r="I60" s="553" t="str">
        <x:f>IF(OR(A60="",F60=""),"",F60*1000)</x:f>
      </x:c>
      <x:c r="J60" s="553" t="n"/>
      <x:c r="K60" s="553" t="str">
        <x:f>IF(A60="","",I60-J60)</x:f>
      </x:c>
      <x:c r="L60" s="524"/>
      <x:c r="M60" s="524"/>
      <x:c r="N60" s="524"/>
      <x:c r="O60" s="524"/>
    </x:row>
    <x:row r="61">
      <x:c r="A61" s="524"/>
      <x:c r="B61" s="538" t="n"/>
      <x:c r="C61" s="524"/>
      <x:c r="D61" s="524"/>
      <x:c r="E61" s="524"/>
      <x:c r="F61" s="552" t="n"/>
      <x:c r="G61" s="551" t="n"/>
      <x:c r="H61" s="551" t="str">
        <x:f>IF(OR(A61="",F61="",F61=0,G61=""),"",G61/F61)</x:f>
      </x:c>
      <x:c r="I61" s="553" t="str">
        <x:f>IF(OR(A61="",F61=""),"",F61*1000)</x:f>
      </x:c>
      <x:c r="J61" s="553" t="n"/>
      <x:c r="K61" s="553" t="str">
        <x:f>IF(A61="","",I61-J61)</x:f>
      </x:c>
      <x:c r="L61" s="524"/>
      <x:c r="M61" s="524"/>
      <x:c r="N61" s="524"/>
      <x:c r="O61" s="524"/>
    </x:row>
    <x:row r="62">
      <x:c r="A62" s="524"/>
      <x:c r="B62" s="538" t="n"/>
      <x:c r="C62" s="524"/>
      <x:c r="D62" s="524"/>
      <x:c r="E62" s="524"/>
      <x:c r="F62" s="552" t="n"/>
      <x:c r="G62" s="551" t="n"/>
      <x:c r="H62" s="551" t="str">
        <x:f>IF(OR(A62="",F62="",F62=0,G62=""),"",G62/F62)</x:f>
      </x:c>
      <x:c r="I62" s="553" t="str">
        <x:f>IF(OR(A62="",F62=""),"",F62*1000)</x:f>
      </x:c>
      <x:c r="J62" s="553" t="n"/>
      <x:c r="K62" s="553" t="str">
        <x:f>IF(A62="","",I62-J62)</x:f>
      </x:c>
      <x:c r="L62" s="524"/>
      <x:c r="M62" s="524"/>
      <x:c r="N62" s="524"/>
      <x:c r="O62" s="524"/>
    </x:row>
    <x:row r="63">
      <x:c r="A63" s="524"/>
      <x:c r="B63" s="538" t="n"/>
      <x:c r="C63" s="524"/>
      <x:c r="D63" s="524"/>
      <x:c r="E63" s="524"/>
      <x:c r="F63" s="552" t="n"/>
      <x:c r="G63" s="551" t="n"/>
      <x:c r="H63" s="551" t="str">
        <x:f>IF(OR(A63="",F63="",F63=0,G63=""),"",G63/F63)</x:f>
      </x:c>
      <x:c r="I63" s="553" t="str">
        <x:f>IF(OR(A63="",F63=""),"",F63*1000)</x:f>
      </x:c>
      <x:c r="J63" s="553" t="n"/>
      <x:c r="K63" s="553" t="str">
        <x:f>IF(A63="","",I63-J63)</x:f>
      </x:c>
      <x:c r="L63" s="524"/>
      <x:c r="M63" s="524"/>
      <x:c r="N63" s="524"/>
      <x:c r="O63" s="524"/>
    </x:row>
    <x:row r="64">
      <x:c r="A64" s="524"/>
      <x:c r="B64" s="538" t="n"/>
      <x:c r="C64" s="524"/>
      <x:c r="D64" s="524"/>
      <x:c r="E64" s="524"/>
      <x:c r="F64" s="552" t="n"/>
      <x:c r="G64" s="551" t="n"/>
      <x:c r="H64" s="551" t="str">
        <x:f>IF(OR(A64="",F64="",F64=0,G64=""),"",G64/F64)</x:f>
      </x:c>
      <x:c r="I64" s="553" t="str">
        <x:f>IF(OR(A64="",F64=""),"",F64*1000)</x:f>
      </x:c>
      <x:c r="J64" s="553" t="n"/>
      <x:c r="K64" s="553" t="str">
        <x:f>IF(A64="","",I64-J64)</x:f>
      </x:c>
      <x:c r="L64" s="524"/>
      <x:c r="M64" s="524"/>
      <x:c r="N64" s="524"/>
      <x:c r="O64" s="524"/>
    </x:row>
    <x:row r="65">
      <x:c r="A65" s="524"/>
      <x:c r="B65" s="538" t="n"/>
      <x:c r="C65" s="524"/>
      <x:c r="D65" s="524"/>
      <x:c r="E65" s="524"/>
      <x:c r="F65" s="552" t="n"/>
      <x:c r="G65" s="551" t="n"/>
      <x:c r="H65" s="551" t="str">
        <x:f>IF(OR(A65="",F65="",F65=0,G65=""),"",G65/F65)</x:f>
      </x:c>
      <x:c r="I65" s="553" t="str">
        <x:f>IF(OR(A65="",F65=""),"",F65*1000)</x:f>
      </x:c>
      <x:c r="J65" s="553" t="n"/>
      <x:c r="K65" s="553" t="str">
        <x:f>IF(A65="","",I65-J65)</x:f>
      </x:c>
      <x:c r="L65" s="524"/>
      <x:c r="M65" s="524"/>
      <x:c r="N65" s="524"/>
      <x:c r="O65" s="524"/>
    </x:row>
    <x:row r="66">
      <x:c r="A66" s="524"/>
      <x:c r="B66" s="538" t="n"/>
      <x:c r="C66" s="524"/>
      <x:c r="D66" s="524"/>
      <x:c r="E66" s="524"/>
      <x:c r="F66" s="552" t="n"/>
      <x:c r="G66" s="551" t="n"/>
      <x:c r="H66" s="551" t="str">
        <x:f>IF(OR(A66="",F66="",F66=0,G66=""),"",G66/F66)</x:f>
      </x:c>
      <x:c r="I66" s="553" t="str">
        <x:f>IF(OR(A66="",F66=""),"",F66*1000)</x:f>
      </x:c>
      <x:c r="J66" s="553" t="n"/>
      <x:c r="K66" s="553" t="str">
        <x:f>IF(A66="","",I66-J66)</x:f>
      </x:c>
      <x:c r="L66" s="524"/>
      <x:c r="M66" s="524"/>
      <x:c r="N66" s="524"/>
      <x:c r="O66" s="524"/>
    </x:row>
    <x:row r="67">
      <x:c r="A67" s="524"/>
      <x:c r="B67" s="538" t="n"/>
      <x:c r="C67" s="524"/>
      <x:c r="D67" s="524"/>
      <x:c r="E67" s="524"/>
      <x:c r="F67" s="552" t="n"/>
      <x:c r="G67" s="551" t="n"/>
      <x:c r="H67" s="551" t="str">
        <x:f>IF(OR(A67="",F67="",F67=0,G67=""),"",G67/F67)</x:f>
      </x:c>
      <x:c r="I67" s="553" t="str">
        <x:f>IF(OR(A67="",F67=""),"",F67*1000)</x:f>
      </x:c>
      <x:c r="J67" s="553" t="n"/>
      <x:c r="K67" s="553" t="str">
        <x:f>IF(A67="","",I67-J67)</x:f>
      </x:c>
      <x:c r="L67" s="524"/>
      <x:c r="M67" s="524"/>
      <x:c r="N67" s="524"/>
      <x:c r="O67" s="524"/>
    </x:row>
    <x:row r="68">
      <x:c r="A68" s="524"/>
      <x:c r="B68" s="538" t="n"/>
      <x:c r="C68" s="524"/>
      <x:c r="D68" s="524"/>
      <x:c r="E68" s="524"/>
      <x:c r="F68" s="552" t="n"/>
      <x:c r="G68" s="551" t="n"/>
      <x:c r="H68" s="551" t="str">
        <x:f>IF(OR(A68="",F68="",F68=0,G68=""),"",G68/F68)</x:f>
      </x:c>
      <x:c r="I68" s="553" t="str">
        <x:f>IF(OR(A68="",F68=""),"",F68*1000)</x:f>
      </x:c>
      <x:c r="J68" s="553" t="n"/>
      <x:c r="K68" s="553" t="str">
        <x:f>IF(A68="","",I68-J68)</x:f>
      </x:c>
      <x:c r="L68" s="524"/>
      <x:c r="M68" s="524"/>
      <x:c r="N68" s="524"/>
      <x:c r="O68" s="524"/>
    </x:row>
    <x:row r="69">
      <x:c r="A69" s="524"/>
      <x:c r="B69" s="538" t="n"/>
      <x:c r="C69" s="524"/>
      <x:c r="D69" s="524"/>
      <x:c r="E69" s="524"/>
      <x:c r="F69" s="552" t="n"/>
      <x:c r="G69" s="551" t="n"/>
      <x:c r="H69" s="551" t="str">
        <x:f>IF(OR(A69="",F69="",F69=0,G69=""),"",G69/F69)</x:f>
      </x:c>
      <x:c r="I69" s="553" t="str">
        <x:f>IF(OR(A69="",F69=""),"",F69*1000)</x:f>
      </x:c>
      <x:c r="J69" s="553" t="n"/>
      <x:c r="K69" s="553" t="str">
        <x:f>IF(A69="","",I69-J69)</x:f>
      </x:c>
      <x:c r="L69" s="524"/>
      <x:c r="M69" s="524"/>
      <x:c r="N69" s="524"/>
      <x:c r="O69" s="524"/>
    </x:row>
    <x:row r="70">
      <x:c r="A70" s="524"/>
      <x:c r="B70" s="538" t="n"/>
      <x:c r="C70" s="524"/>
      <x:c r="D70" s="524"/>
      <x:c r="E70" s="524"/>
      <x:c r="F70" s="552" t="n"/>
      <x:c r="G70" s="551" t="n"/>
      <x:c r="H70" s="551" t="str">
        <x:f>IF(OR(A70="",F70="",F70=0,G70=""),"",G70/F70)</x:f>
      </x:c>
      <x:c r="I70" s="553" t="str">
        <x:f>IF(OR(A70="",F70=""),"",F70*1000)</x:f>
      </x:c>
      <x:c r="J70" s="553" t="n"/>
      <x:c r="K70" s="553" t="str">
        <x:f>IF(A70="","",I70-J70)</x:f>
      </x:c>
      <x:c r="L70" s="524"/>
      <x:c r="M70" s="524"/>
      <x:c r="N70" s="524"/>
      <x:c r="O70" s="524"/>
    </x:row>
    <x:row r="71">
      <x:c r="A71" s="524"/>
      <x:c r="B71" s="538" t="n"/>
      <x:c r="C71" s="524"/>
      <x:c r="D71" s="524"/>
      <x:c r="E71" s="524"/>
      <x:c r="F71" s="552" t="n"/>
      <x:c r="G71" s="551" t="n"/>
      <x:c r="H71" s="551" t="str">
        <x:f>IF(OR(A71="",F71="",F71=0,G71=""),"",G71/F71)</x:f>
      </x:c>
      <x:c r="I71" s="553" t="str">
        <x:f>IF(OR(A71="",F71=""),"",F71*1000)</x:f>
      </x:c>
      <x:c r="J71" s="553" t="n"/>
      <x:c r="K71" s="553" t="str">
        <x:f>IF(A71="","",I71-J71)</x:f>
      </x:c>
      <x:c r="L71" s="524"/>
      <x:c r="M71" s="524"/>
      <x:c r="N71" s="524"/>
      <x:c r="O71" s="524"/>
    </x:row>
    <x:row r="72">
      <x:c r="A72" s="524"/>
      <x:c r="B72" s="538" t="n"/>
      <x:c r="C72" s="524"/>
      <x:c r="D72" s="524"/>
      <x:c r="E72" s="524"/>
      <x:c r="F72" s="552" t="n"/>
      <x:c r="G72" s="551" t="n"/>
      <x:c r="H72" s="551" t="str">
        <x:f>IF(OR(A72="",F72="",F72=0,G72=""),"",G72/F72)</x:f>
      </x:c>
      <x:c r="I72" s="553" t="str">
        <x:f>IF(OR(A72="",F72=""),"",F72*1000)</x:f>
      </x:c>
      <x:c r="J72" s="553" t="n"/>
      <x:c r="K72" s="553" t="str">
        <x:f>IF(A72="","",I72-J72)</x:f>
      </x:c>
      <x:c r="L72" s="524"/>
      <x:c r="M72" s="524"/>
      <x:c r="N72" s="524"/>
      <x:c r="O72" s="524"/>
    </x:row>
    <x:row r="73">
      <x:c r="A73" s="524"/>
      <x:c r="B73" s="538" t="n"/>
      <x:c r="C73" s="524"/>
      <x:c r="D73" s="524"/>
      <x:c r="E73" s="524"/>
      <x:c r="F73" s="552" t="n"/>
      <x:c r="G73" s="551" t="n"/>
      <x:c r="H73" s="551" t="str">
        <x:f>IF(OR(A73="",F73="",F73=0,G73=""),"",G73/F73)</x:f>
      </x:c>
      <x:c r="I73" s="553" t="str">
        <x:f>IF(OR(A73="",F73=""),"",F73*1000)</x:f>
      </x:c>
      <x:c r="J73" s="553" t="n"/>
      <x:c r="K73" s="553" t="str">
        <x:f>IF(A73="","",I73-J73)</x:f>
      </x:c>
      <x:c r="L73" s="524"/>
      <x:c r="M73" s="524"/>
      <x:c r="N73" s="524"/>
      <x:c r="O73" s="524"/>
    </x:row>
    <x:row r="74">
      <x:c r="A74" s="524"/>
      <x:c r="B74" s="538" t="n"/>
      <x:c r="C74" s="524"/>
      <x:c r="D74" s="524"/>
      <x:c r="E74" s="524"/>
      <x:c r="F74" s="552" t="n"/>
      <x:c r="G74" s="551" t="n"/>
      <x:c r="H74" s="551" t="str">
        <x:f>IF(OR(A74="",F74="",F74=0,G74=""),"",G74/F74)</x:f>
      </x:c>
      <x:c r="I74" s="553" t="str">
        <x:f>IF(OR(A74="",F74=""),"",F74*1000)</x:f>
      </x:c>
      <x:c r="J74" s="553" t="n"/>
      <x:c r="K74" s="553" t="str">
        <x:f>IF(A74="","",I74-J74)</x:f>
      </x:c>
      <x:c r="L74" s="524"/>
      <x:c r="M74" s="524"/>
      <x:c r="N74" s="524"/>
      <x:c r="O74" s="524"/>
    </x:row>
    <x:row r="75">
      <x:c r="A75" s="524"/>
      <x:c r="B75" s="538" t="n"/>
      <x:c r="C75" s="524"/>
      <x:c r="D75" s="524"/>
      <x:c r="E75" s="524"/>
      <x:c r="F75" s="552" t="n"/>
      <x:c r="G75" s="551" t="n"/>
      <x:c r="H75" s="551" t="str">
        <x:f>IF(OR(A75="",F75="",F75=0,G75=""),"",G75/F75)</x:f>
      </x:c>
      <x:c r="I75" s="553" t="str">
        <x:f>IF(OR(A75="",F75=""),"",F75*1000)</x:f>
      </x:c>
      <x:c r="J75" s="553" t="n"/>
      <x:c r="K75" s="553" t="str">
        <x:f>IF(A75="","",I75-J75)</x:f>
      </x:c>
      <x:c r="L75" s="524"/>
      <x:c r="M75" s="524"/>
      <x:c r="N75" s="524"/>
      <x:c r="O75" s="524"/>
    </x:row>
    <x:row r="76">
      <x:c r="A76" s="524"/>
      <x:c r="B76" s="538" t="n"/>
      <x:c r="C76" s="524"/>
      <x:c r="D76" s="524"/>
      <x:c r="E76" s="524"/>
      <x:c r="F76" s="552" t="n"/>
      <x:c r="G76" s="551" t="n"/>
      <x:c r="H76" s="551" t="str">
        <x:f>IF(OR(A76="",F76="",F76=0,G76=""),"",G76/F76)</x:f>
      </x:c>
      <x:c r="I76" s="553" t="str">
        <x:f>IF(OR(A76="",F76=""),"",F76*1000)</x:f>
      </x:c>
      <x:c r="J76" s="553" t="n"/>
      <x:c r="K76" s="553" t="str">
        <x:f>IF(A76="","",I76-J76)</x:f>
      </x:c>
      <x:c r="L76" s="524"/>
      <x:c r="M76" s="524"/>
      <x:c r="N76" s="524"/>
      <x:c r="O76" s="524"/>
    </x:row>
    <x:row r="77">
      <x:c r="A77" s="524"/>
      <x:c r="B77" s="538" t="n"/>
      <x:c r="C77" s="524"/>
      <x:c r="D77" s="524"/>
      <x:c r="E77" s="524"/>
      <x:c r="F77" s="552" t="n"/>
      <x:c r="G77" s="551" t="n"/>
      <x:c r="H77" s="551" t="str">
        <x:f>IF(OR(A77="",F77="",F77=0,G77=""),"",G77/F77)</x:f>
      </x:c>
      <x:c r="I77" s="553" t="str">
        <x:f>IF(OR(A77="",F77=""),"",F77*1000)</x:f>
      </x:c>
      <x:c r="J77" s="553" t="n"/>
      <x:c r="K77" s="553" t="str">
        <x:f>IF(A77="","",I77-J77)</x:f>
      </x:c>
      <x:c r="L77" s="524"/>
      <x:c r="M77" s="524"/>
      <x:c r="N77" s="524"/>
      <x:c r="O77" s="524"/>
    </x:row>
    <x:row r="78">
      <x:c r="A78" s="524"/>
      <x:c r="B78" s="538" t="n"/>
      <x:c r="C78" s="524"/>
      <x:c r="D78" s="524"/>
      <x:c r="E78" s="524"/>
      <x:c r="F78" s="552" t="n"/>
      <x:c r="G78" s="551" t="n"/>
      <x:c r="H78" s="551" t="str">
        <x:f>IF(OR(A78="",F78="",F78=0,G78=""),"",G78/F78)</x:f>
      </x:c>
      <x:c r="I78" s="553" t="str">
        <x:f>IF(OR(A78="",F78=""),"",F78*1000)</x:f>
      </x:c>
      <x:c r="J78" s="553" t="n"/>
      <x:c r="K78" s="553" t="str">
        <x:f>IF(A78="","",I78-J78)</x:f>
      </x:c>
      <x:c r="L78" s="524"/>
      <x:c r="M78" s="524"/>
      <x:c r="N78" s="524"/>
      <x:c r="O78" s="524"/>
    </x:row>
    <x:row r="79">
      <x:c r="A79" s="524"/>
      <x:c r="B79" s="538" t="n"/>
      <x:c r="C79" s="524"/>
      <x:c r="D79" s="524"/>
      <x:c r="E79" s="524"/>
      <x:c r="F79" s="552" t="n"/>
      <x:c r="G79" s="551" t="n"/>
      <x:c r="H79" s="551" t="str">
        <x:f>IF(OR(A79="",F79="",F79=0,G79=""),"",G79/F79)</x:f>
      </x:c>
      <x:c r="I79" s="553" t="str">
        <x:f>IF(OR(A79="",F79=""),"",F79*1000)</x:f>
      </x:c>
      <x:c r="J79" s="553" t="n"/>
      <x:c r="K79" s="553" t="str">
        <x:f>IF(A79="","",I79-J79)</x:f>
      </x:c>
      <x:c r="L79" s="524"/>
      <x:c r="M79" s="524"/>
      <x:c r="N79" s="524"/>
      <x:c r="O79" s="524"/>
    </x:row>
    <x:row r="80">
      <x:c r="A80" s="524"/>
      <x:c r="B80" s="538" t="n"/>
      <x:c r="C80" s="524"/>
      <x:c r="D80" s="524"/>
      <x:c r="E80" s="524"/>
      <x:c r="F80" s="552" t="n"/>
      <x:c r="G80" s="551" t="n"/>
      <x:c r="H80" s="551" t="str">
        <x:f>IF(OR(A80="",F80="",F80=0,G80=""),"",G80/F80)</x:f>
      </x:c>
      <x:c r="I80" s="553" t="str">
        <x:f>IF(OR(A80="",F80=""),"",F80*1000)</x:f>
      </x:c>
      <x:c r="J80" s="553" t="n"/>
      <x:c r="K80" s="553" t="str">
        <x:f>IF(A80="","",I80-J80)</x:f>
      </x:c>
      <x:c r="L80" s="524"/>
      <x:c r="M80" s="524"/>
      <x:c r="N80" s="524"/>
      <x:c r="O80" s="524"/>
    </x:row>
    <x:row r="81">
      <x:c r="A81" s="524"/>
      <x:c r="B81" s="538" t="n"/>
      <x:c r="C81" s="524"/>
      <x:c r="D81" s="524"/>
      <x:c r="E81" s="524"/>
      <x:c r="F81" s="552" t="n"/>
      <x:c r="G81" s="551" t="n"/>
      <x:c r="H81" s="551" t="str">
        <x:f>IF(OR(A81="",F81="",F81=0,G81=""),"",G81/F81)</x:f>
      </x:c>
      <x:c r="I81" s="553" t="str">
        <x:f>IF(OR(A81="",F81=""),"",F81*1000)</x:f>
      </x:c>
      <x:c r="J81" s="553" t="n"/>
      <x:c r="K81" s="553" t="str">
        <x:f>IF(A81="","",I81-J81)</x:f>
      </x:c>
      <x:c r="L81" s="524"/>
      <x:c r="M81" s="524"/>
      <x:c r="N81" s="524"/>
      <x:c r="O81" s="524"/>
    </x:row>
    <x:row r="82">
      <x:c r="A82" s="524"/>
      <x:c r="B82" s="538" t="n"/>
      <x:c r="C82" s="524"/>
      <x:c r="D82" s="524"/>
      <x:c r="E82" s="524"/>
      <x:c r="F82" s="552" t="n"/>
      <x:c r="G82" s="551" t="n"/>
      <x:c r="H82" s="551" t="str">
        <x:f>IF(OR(A82="",F82="",F82=0,G82=""),"",G82/F82)</x:f>
      </x:c>
      <x:c r="I82" s="553" t="str">
        <x:f>IF(OR(A82="",F82=""),"",F82*1000)</x:f>
      </x:c>
      <x:c r="J82" s="553" t="n"/>
      <x:c r="K82" s="553" t="str">
        <x:f>IF(A82="","",I82-J82)</x:f>
      </x:c>
      <x:c r="L82" s="524"/>
      <x:c r="M82" s="524"/>
      <x:c r="N82" s="524"/>
      <x:c r="O82" s="524"/>
    </x:row>
    <x:row r="83">
      <x:c r="A83" s="524"/>
      <x:c r="B83" s="538" t="n"/>
      <x:c r="C83" s="524"/>
      <x:c r="D83" s="524"/>
      <x:c r="E83" s="524"/>
      <x:c r="F83" s="552" t="n"/>
      <x:c r="G83" s="551" t="n"/>
      <x:c r="H83" s="551" t="str">
        <x:f>IF(OR(A83="",F83="",F83=0,G83=""),"",G83/F83)</x:f>
      </x:c>
      <x:c r="I83" s="553" t="str">
        <x:f>IF(OR(A83="",F83=""),"",F83*1000)</x:f>
      </x:c>
      <x:c r="J83" s="553" t="n"/>
      <x:c r="K83" s="553" t="str">
        <x:f>IF(A83="","",I83-J83)</x:f>
      </x:c>
      <x:c r="L83" s="524"/>
      <x:c r="M83" s="524"/>
      <x:c r="N83" s="524"/>
      <x:c r="O83" s="524"/>
    </x:row>
    <x:row r="84">
      <x:c r="A84" s="524"/>
      <x:c r="B84" s="538" t="n"/>
      <x:c r="C84" s="524"/>
      <x:c r="D84" s="524"/>
      <x:c r="E84" s="524"/>
      <x:c r="F84" s="552" t="n"/>
      <x:c r="G84" s="551" t="n"/>
      <x:c r="H84" s="551" t="str">
        <x:f>IF(OR(A84="",F84="",F84=0,G84=""),"",G84/F84)</x:f>
      </x:c>
      <x:c r="I84" s="553" t="str">
        <x:f>IF(OR(A84="",F84=""),"",F84*1000)</x:f>
      </x:c>
      <x:c r="J84" s="553" t="n"/>
      <x:c r="K84" s="553" t="str">
        <x:f>IF(A84="","",I84-J84)</x:f>
      </x:c>
      <x:c r="L84" s="524"/>
      <x:c r="M84" s="524"/>
      <x:c r="N84" s="524"/>
      <x:c r="O84" s="524"/>
    </x:row>
    <x:row r="85">
      <x:c r="A85" s="524"/>
      <x:c r="B85" s="538" t="n"/>
      <x:c r="C85" s="524"/>
      <x:c r="D85" s="524"/>
      <x:c r="E85" s="524"/>
      <x:c r="F85" s="552" t="n"/>
      <x:c r="G85" s="551" t="n"/>
      <x:c r="H85" s="551" t="str">
        <x:f>IF(OR(A85="",F85="",F85=0,G85=""),"",G85/F85)</x:f>
      </x:c>
      <x:c r="I85" s="553" t="str">
        <x:f>IF(OR(A85="",F85=""),"",F85*1000)</x:f>
      </x:c>
      <x:c r="J85" s="553" t="n"/>
      <x:c r="K85" s="553" t="str">
        <x:f>IF(A85="","",I85-J85)</x:f>
      </x:c>
      <x:c r="L85" s="524"/>
      <x:c r="M85" s="524"/>
      <x:c r="N85" s="524"/>
      <x:c r="O85" s="524"/>
    </x:row>
    <x:row r="86">
      <x:c r="A86" s="524"/>
      <x:c r="B86" s="538" t="n"/>
      <x:c r="C86" s="524"/>
      <x:c r="D86" s="524"/>
      <x:c r="E86" s="524"/>
      <x:c r="F86" s="552" t="n"/>
      <x:c r="G86" s="551" t="n"/>
      <x:c r="H86" s="551" t="str">
        <x:f>IF(OR(A86="",F86="",F86=0,G86=""),"",G86/F86)</x:f>
      </x:c>
      <x:c r="I86" s="553" t="str">
        <x:f>IF(OR(A86="",F86=""),"",F86*1000)</x:f>
      </x:c>
      <x:c r="J86" s="553" t="n"/>
      <x:c r="K86" s="553" t="str">
        <x:f>IF(A86="","",I86-J86)</x:f>
      </x:c>
      <x:c r="L86" s="524"/>
      <x:c r="M86" s="524"/>
      <x:c r="N86" s="524"/>
      <x:c r="O86" s="524"/>
    </x:row>
    <x:row r="87">
      <x:c r="A87" s="524"/>
      <x:c r="B87" s="538" t="n"/>
      <x:c r="C87" s="524"/>
      <x:c r="D87" s="524"/>
      <x:c r="E87" s="524"/>
      <x:c r="F87" s="552" t="n"/>
      <x:c r="G87" s="551" t="n"/>
      <x:c r="H87" s="551" t="str">
        <x:f>IF(OR(A87="",F87="",F87=0,G87=""),"",G87/F87)</x:f>
      </x:c>
      <x:c r="I87" s="553" t="str">
        <x:f>IF(OR(A87="",F87=""),"",F87*1000)</x:f>
      </x:c>
      <x:c r="J87" s="553" t="n"/>
      <x:c r="K87" s="553" t="str">
        <x:f>IF(A87="","",I87-J87)</x:f>
      </x:c>
      <x:c r="L87" s="524"/>
      <x:c r="M87" s="524"/>
      <x:c r="N87" s="524"/>
      <x:c r="O87" s="524"/>
    </x:row>
    <x:row r="88">
      <x:c r="A88" s="524"/>
      <x:c r="B88" s="538" t="n"/>
      <x:c r="C88" s="524"/>
      <x:c r="D88" s="524"/>
      <x:c r="E88" s="524"/>
      <x:c r="F88" s="552" t="n"/>
      <x:c r="G88" s="551" t="n"/>
      <x:c r="H88" s="551" t="str">
        <x:f>IF(OR(A88="",F88="",F88=0,G88=""),"",G88/F88)</x:f>
      </x:c>
      <x:c r="I88" s="553" t="str">
        <x:f>IF(OR(A88="",F88=""),"",F88*1000)</x:f>
      </x:c>
      <x:c r="J88" s="553" t="n"/>
      <x:c r="K88" s="553" t="str">
        <x:f>IF(A88="","",I88-J88)</x:f>
      </x:c>
      <x:c r="L88" s="524"/>
      <x:c r="M88" s="524"/>
      <x:c r="N88" s="524"/>
      <x:c r="O88" s="524"/>
    </x:row>
    <x:row r="89">
      <x:c r="A89" s="524"/>
      <x:c r="B89" s="538" t="n"/>
      <x:c r="C89" s="524"/>
      <x:c r="D89" s="524"/>
      <x:c r="E89" s="524"/>
      <x:c r="F89" s="552" t="n"/>
      <x:c r="G89" s="551" t="n"/>
      <x:c r="H89" s="551" t="str">
        <x:f>IF(OR(A89="",F89="",F89=0,G89=""),"",G89/F89)</x:f>
      </x:c>
      <x:c r="I89" s="553" t="str">
        <x:f>IF(OR(A89="",F89=""),"",F89*1000)</x:f>
      </x:c>
      <x:c r="J89" s="553" t="n"/>
      <x:c r="K89" s="553" t="str">
        <x:f>IF(A89="","",I89-J89)</x:f>
      </x:c>
      <x:c r="L89" s="524"/>
      <x:c r="M89" s="524"/>
      <x:c r="N89" s="524"/>
      <x:c r="O89" s="524"/>
    </x:row>
    <x:row r="90">
      <x:c r="A90" s="524"/>
      <x:c r="B90" s="538" t="n"/>
      <x:c r="C90" s="524"/>
      <x:c r="D90" s="524"/>
      <x:c r="E90" s="524"/>
      <x:c r="F90" s="552" t="n"/>
      <x:c r="G90" s="551" t="n"/>
      <x:c r="H90" s="551" t="str">
        <x:f>IF(OR(A90="",F90="",F90=0,G90=""),"",G90/F90)</x:f>
      </x:c>
      <x:c r="I90" s="553" t="str">
        <x:f>IF(OR(A90="",F90=""),"",F90*1000)</x:f>
      </x:c>
      <x:c r="J90" s="553" t="n"/>
      <x:c r="K90" s="553" t="str">
        <x:f>IF(A90="","",I90-J90)</x:f>
      </x:c>
      <x:c r="L90" s="524"/>
      <x:c r="M90" s="524"/>
      <x:c r="N90" s="524"/>
      <x:c r="O90" s="524"/>
    </x:row>
    <x:row r="91">
      <x:c r="A91" s="524"/>
      <x:c r="B91" s="538" t="n"/>
      <x:c r="C91" s="524"/>
      <x:c r="D91" s="524"/>
      <x:c r="E91" s="524"/>
      <x:c r="F91" s="552" t="n"/>
      <x:c r="G91" s="551" t="n"/>
      <x:c r="H91" s="551" t="str">
        <x:f>IF(OR(A91="",F91="",F91=0,G91=""),"",G91/F91)</x:f>
      </x:c>
      <x:c r="I91" s="553" t="str">
        <x:f>IF(OR(A91="",F91=""),"",F91*1000)</x:f>
      </x:c>
      <x:c r="J91" s="553" t="n"/>
      <x:c r="K91" s="553" t="str">
        <x:f>IF(A91="","",I91-J91)</x:f>
      </x:c>
      <x:c r="L91" s="524"/>
      <x:c r="M91" s="524"/>
      <x:c r="N91" s="524"/>
      <x:c r="O91" s="524"/>
    </x:row>
    <x:row r="92">
      <x:c r="A92" s="524"/>
      <x:c r="B92" s="538" t="n"/>
      <x:c r="C92" s="524"/>
      <x:c r="D92" s="524"/>
      <x:c r="E92" s="524"/>
      <x:c r="F92" s="552" t="n"/>
      <x:c r="G92" s="551" t="n"/>
      <x:c r="H92" s="551" t="str">
        <x:f>IF(OR(A92="",F92="",F92=0,G92=""),"",G92/F92)</x:f>
      </x:c>
      <x:c r="I92" s="553" t="str">
        <x:f>IF(OR(A92="",F92=""),"",F92*1000)</x:f>
      </x:c>
      <x:c r="J92" s="553" t="n"/>
      <x:c r="K92" s="553" t="str">
        <x:f>IF(A92="","",I92-J92)</x:f>
      </x:c>
      <x:c r="L92" s="524"/>
      <x:c r="M92" s="524"/>
      <x:c r="N92" s="524"/>
      <x:c r="O92" s="524"/>
    </x:row>
    <x:row r="93">
      <x:c r="A93" s="524"/>
      <x:c r="B93" s="538" t="n"/>
      <x:c r="C93" s="524"/>
      <x:c r="D93" s="524"/>
      <x:c r="E93" s="524"/>
      <x:c r="F93" s="552" t="n"/>
      <x:c r="G93" s="551" t="n"/>
      <x:c r="H93" s="551" t="str">
        <x:f>IF(OR(A93="",F93="",F93=0,G93=""),"",G93/F93)</x:f>
      </x:c>
      <x:c r="I93" s="553" t="str">
        <x:f>IF(OR(A93="",F93=""),"",F93*1000)</x:f>
      </x:c>
      <x:c r="J93" s="553" t="n"/>
      <x:c r="K93" s="553" t="str">
        <x:f>IF(A93="","",I93-J93)</x:f>
      </x:c>
      <x:c r="L93" s="524"/>
      <x:c r="M93" s="524"/>
      <x:c r="N93" s="524"/>
      <x:c r="O93" s="524"/>
    </x:row>
    <x:row r="94">
      <x:c r="A94" s="524"/>
      <x:c r="B94" s="538" t="n"/>
      <x:c r="C94" s="524"/>
      <x:c r="D94" s="524"/>
      <x:c r="E94" s="524"/>
      <x:c r="F94" s="552" t="n"/>
      <x:c r="G94" s="551" t="n"/>
      <x:c r="H94" s="551" t="str">
        <x:f>IF(OR(A94="",F94="",F94=0,G94=""),"",G94/F94)</x:f>
      </x:c>
      <x:c r="I94" s="553" t="str">
        <x:f>IF(OR(A94="",F94=""),"",F94*1000)</x:f>
      </x:c>
      <x:c r="J94" s="553" t="n"/>
      <x:c r="K94" s="553" t="str">
        <x:f>IF(A94="","",I94-J94)</x:f>
      </x:c>
      <x:c r="L94" s="524"/>
      <x:c r="M94" s="524"/>
      <x:c r="N94" s="524"/>
      <x:c r="O94" s="524"/>
    </x:row>
    <x:row r="95">
      <x:c r="A95" s="524"/>
      <x:c r="B95" s="538" t="n"/>
      <x:c r="C95" s="524"/>
      <x:c r="D95" s="524"/>
      <x:c r="E95" s="524"/>
      <x:c r="F95" s="552" t="n"/>
      <x:c r="G95" s="551" t="n"/>
      <x:c r="H95" s="551" t="str">
        <x:f>IF(OR(A95="",F95="",F95=0,G95=""),"",G95/F95)</x:f>
      </x:c>
      <x:c r="I95" s="553" t="str">
        <x:f>IF(OR(A95="",F95=""),"",F95*1000)</x:f>
      </x:c>
      <x:c r="J95" s="553" t="n"/>
      <x:c r="K95" s="553" t="str">
        <x:f>IF(A95="","",I95-J95)</x:f>
      </x:c>
      <x:c r="L95" s="524"/>
      <x:c r="M95" s="524"/>
      <x:c r="N95" s="524"/>
      <x:c r="O95" s="524"/>
    </x:row>
    <x:row r="96">
      <x:c r="A96" s="524"/>
      <x:c r="B96" s="538" t="n"/>
      <x:c r="C96" s="524"/>
      <x:c r="D96" s="524"/>
      <x:c r="E96" s="524"/>
      <x:c r="F96" s="552" t="n"/>
      <x:c r="G96" s="551" t="n"/>
      <x:c r="H96" s="551" t="str">
        <x:f>IF(OR(A96="",F96="",F96=0,G96=""),"",G96/F96)</x:f>
      </x:c>
      <x:c r="I96" s="553" t="str">
        <x:f>IF(OR(A96="",F96=""),"",F96*1000)</x:f>
      </x:c>
      <x:c r="J96" s="553" t="n"/>
      <x:c r="K96" s="553" t="str">
        <x:f>IF(A96="","",I96-J96)</x:f>
      </x:c>
      <x:c r="L96" s="524"/>
      <x:c r="M96" s="524"/>
      <x:c r="N96" s="524"/>
      <x:c r="O96" s="524"/>
    </x:row>
    <x:row r="97">
      <x:c r="A97" s="524"/>
      <x:c r="B97" s="538" t="n"/>
      <x:c r="C97" s="524"/>
      <x:c r="D97" s="524"/>
      <x:c r="E97" s="524"/>
      <x:c r="F97" s="552" t="n"/>
      <x:c r="G97" s="551" t="n"/>
      <x:c r="H97" s="551" t="str">
        <x:f>IF(OR(A97="",F97="",F97=0,G97=""),"",G97/F97)</x:f>
      </x:c>
      <x:c r="I97" s="553" t="str">
        <x:f>IF(OR(A97="",F97=""),"",F97*1000)</x:f>
      </x:c>
      <x:c r="J97" s="553" t="n"/>
      <x:c r="K97" s="553" t="str">
        <x:f>IF(A97="","",I97-J97)</x:f>
      </x:c>
      <x:c r="L97" s="524"/>
      <x:c r="M97" s="524"/>
      <x:c r="N97" s="524"/>
      <x:c r="O97" s="524"/>
    </x:row>
    <x:row r="98">
      <x:c r="A98" s="524"/>
      <x:c r="B98" s="538" t="n"/>
      <x:c r="C98" s="524"/>
      <x:c r="D98" s="524"/>
      <x:c r="E98" s="524"/>
      <x:c r="F98" s="552" t="n"/>
      <x:c r="G98" s="551" t="n"/>
      <x:c r="H98" s="551" t="str">
        <x:f>IF(OR(A98="",F98="",F98=0,G98=""),"",G98/F98)</x:f>
      </x:c>
      <x:c r="I98" s="553" t="str">
        <x:f>IF(OR(A98="",F98=""),"",F98*1000)</x:f>
      </x:c>
      <x:c r="J98" s="553" t="n"/>
      <x:c r="K98" s="553" t="str">
        <x:f>IF(A98="","",I98-J98)</x:f>
      </x:c>
      <x:c r="L98" s="524"/>
      <x:c r="M98" s="524"/>
      <x:c r="N98" s="524"/>
      <x:c r="O98" s="524"/>
    </x:row>
    <x:row r="99">
      <x:c r="A99" s="524"/>
      <x:c r="B99" s="538" t="n"/>
      <x:c r="C99" s="524"/>
      <x:c r="D99" s="524"/>
      <x:c r="E99" s="524"/>
      <x:c r="F99" s="552" t="n"/>
      <x:c r="G99" s="551" t="n"/>
      <x:c r="H99" s="551" t="str">
        <x:f>IF(OR(A99="",F99="",F99=0,G99=""),"",G99/F99)</x:f>
      </x:c>
      <x:c r="I99" s="553" t="str">
        <x:f>IF(OR(A99="",F99=""),"",F99*1000)</x:f>
      </x:c>
      <x:c r="J99" s="553" t="n"/>
      <x:c r="K99" s="553" t="str">
        <x:f>IF(A99="","",I99-J99)</x:f>
      </x:c>
      <x:c r="L99" s="524"/>
      <x:c r="M99" s="524"/>
      <x:c r="N99" s="524"/>
      <x:c r="O99" s="524"/>
    </x:row>
    <x:row r="100">
      <x:c r="A100" s="524"/>
      <x:c r="B100" s="538" t="n"/>
      <x:c r="C100" s="524"/>
      <x:c r="D100" s="524"/>
      <x:c r="E100" s="524"/>
      <x:c r="F100" s="552" t="n"/>
      <x:c r="G100" s="551" t="n"/>
      <x:c r="H100" s="551" t="str">
        <x:f>IF(OR(A100="",F100="",F100=0,G100=""),"",G100/F100)</x:f>
      </x:c>
      <x:c r="I100" s="553" t="str">
        <x:f>IF(OR(A100="",F100=""),"",F100*1000)</x:f>
      </x:c>
      <x:c r="J100" s="553" t="n"/>
      <x:c r="K100" s="553" t="str">
        <x:f>IF(A100="","",I100-J100)</x:f>
      </x:c>
      <x:c r="L100" s="524"/>
      <x:c r="M100" s="524"/>
      <x:c r="N100" s="524"/>
      <x:c r="O100" s="524"/>
    </x:row>
    <x:row r="101">
      <x:c r="A101" s="524"/>
      <x:c r="B101" s="538" t="n"/>
      <x:c r="C101" s="524"/>
      <x:c r="D101" s="524"/>
      <x:c r="E101" s="524"/>
      <x:c r="F101" s="552" t="n"/>
      <x:c r="G101" s="551" t="n"/>
      <x:c r="H101" s="551" t="str">
        <x:f>IF(OR(A101="",F101="",F101=0,G101=""),"",G101/F101)</x:f>
      </x:c>
      <x:c r="I101" s="553" t="str">
        <x:f>IF(OR(A101="",F101=""),"",F101*1000)</x:f>
      </x:c>
      <x:c r="J101" s="553" t="n"/>
      <x:c r="K101" s="553" t="str">
        <x:f>IF(A101="","",I101-J101)</x:f>
      </x:c>
      <x:c r="L101" s="524"/>
      <x:c r="M101" s="524"/>
      <x:c r="N101" s="524"/>
      <x:c r="O101" s="524"/>
    </x:row>
    <x:row r="102">
      <x:c r="A102" s="524"/>
      <x:c r="B102" s="538" t="n"/>
      <x:c r="C102" s="524"/>
      <x:c r="D102" s="524"/>
      <x:c r="E102" s="524"/>
      <x:c r="F102" s="552" t="n"/>
      <x:c r="G102" s="551" t="n"/>
      <x:c r="H102" s="551" t="str">
        <x:f>IF(OR(A102="",F102="",F102=0,G102=""),"",G102/F102)</x:f>
      </x:c>
      <x:c r="I102" s="553" t="str">
        <x:f>IF(OR(A102="",F102=""),"",F102*1000)</x:f>
      </x:c>
      <x:c r="J102" s="553" t="n"/>
      <x:c r="K102" s="553" t="str">
        <x:f>IF(A102="","",I102-J102)</x:f>
      </x:c>
      <x:c r="L102" s="524"/>
      <x:c r="M102" s="524"/>
      <x:c r="N102" s="524"/>
      <x:c r="O102" s="524"/>
    </x:row>
    <x:row r="103">
      <x:c r="A103" s="524"/>
      <x:c r="B103" s="538" t="n"/>
      <x:c r="C103" s="524"/>
      <x:c r="D103" s="524"/>
      <x:c r="E103" s="524"/>
      <x:c r="F103" s="552" t="n"/>
      <x:c r="G103" s="551" t="n"/>
      <x:c r="H103" s="551" t="str">
        <x:f>IF(OR(A103="",F103="",F103=0,G103=""),"",G103/F103)</x:f>
      </x:c>
      <x:c r="I103" s="553" t="str">
        <x:f>IF(OR(A103="",F103=""),"",F103*1000)</x:f>
      </x:c>
      <x:c r="J103" s="553" t="n"/>
      <x:c r="K103" s="553" t="str">
        <x:f>IF(A103="","",I103-J103)</x:f>
      </x:c>
      <x:c r="L103" s="524"/>
      <x:c r="M103" s="524"/>
      <x:c r="N103" s="524"/>
      <x:c r="O103" s="524"/>
    </x:row>
    <x:row r="104">
      <x:c r="A104" s="524"/>
      <x:c r="B104" s="538" t="n"/>
      <x:c r="C104" s="524"/>
      <x:c r="D104" s="524"/>
      <x:c r="E104" s="524"/>
      <x:c r="F104" s="552" t="n"/>
      <x:c r="G104" s="551" t="n"/>
      <x:c r="H104" s="551" t="str">
        <x:f>IF(OR(A104="",F104="",F104=0,G104=""),"",G104/F104)</x:f>
      </x:c>
      <x:c r="I104" s="553" t="str">
        <x:f>IF(OR(A104="",F104=""),"",F104*1000)</x:f>
      </x:c>
      <x:c r="J104" s="553" t="n"/>
      <x:c r="K104" s="553" t="str">
        <x:f>IF(A104="","",I104-J104)</x:f>
      </x:c>
      <x:c r="L104" s="524"/>
      <x:c r="M104" s="524"/>
      <x:c r="N104" s="524"/>
      <x:c r="O104" s="524"/>
    </x:row>
    <x:row r="105">
      <x:c r="A105" s="524"/>
      <x:c r="B105" s="538" t="n"/>
      <x:c r="C105" s="524"/>
      <x:c r="D105" s="524"/>
      <x:c r="E105" s="524"/>
      <x:c r="F105" s="552" t="n"/>
      <x:c r="G105" s="551" t="n"/>
      <x:c r="H105" s="551" t="str">
        <x:f>IF(OR(A105="",F105="",F105=0,G105=""),"",G105/F105)</x:f>
      </x:c>
      <x:c r="I105" s="553" t="str">
        <x:f>IF(OR(A105="",F105=""),"",F105*1000)</x:f>
      </x:c>
      <x:c r="J105" s="553" t="n"/>
      <x:c r="K105" s="553" t="str">
        <x:f>IF(A105="","",I105-J105)</x:f>
      </x:c>
      <x:c r="L105" s="524"/>
      <x:c r="M105" s="524"/>
      <x:c r="N105" s="524"/>
      <x:c r="O105" s="524"/>
    </x:row>
    <x:row r="106">
      <x:c r="A106" s="524"/>
      <x:c r="B106" s="538" t="n"/>
      <x:c r="C106" s="524"/>
      <x:c r="D106" s="524"/>
      <x:c r="E106" s="524"/>
      <x:c r="F106" s="552" t="n"/>
      <x:c r="G106" s="551" t="n"/>
      <x:c r="H106" s="551" t="str">
        <x:f>IF(OR(A106="",F106="",F106=0,G106=""),"",G106/F106)</x:f>
      </x:c>
      <x:c r="I106" s="553" t="str">
        <x:f>IF(OR(A106="",F106=""),"",F106*1000)</x:f>
      </x:c>
      <x:c r="J106" s="553" t="n"/>
      <x:c r="K106" s="553" t="str">
        <x:f>IF(A106="","",I106-J106)</x:f>
      </x:c>
      <x:c r="L106" s="524"/>
      <x:c r="M106" s="524"/>
      <x:c r="N106" s="524"/>
      <x:c r="O106" s="524"/>
    </x:row>
    <x:row r="107">
      <x:c r="A107" s="524"/>
      <x:c r="B107" s="538" t="n"/>
      <x:c r="C107" s="524"/>
      <x:c r="D107" s="524"/>
      <x:c r="E107" s="524"/>
      <x:c r="F107" s="552" t="n"/>
      <x:c r="G107" s="551" t="n"/>
      <x:c r="H107" s="551" t="str">
        <x:f>IF(OR(A107="",F107="",F107=0,G107=""),"",G107/F107)</x:f>
      </x:c>
      <x:c r="I107" s="553" t="str">
        <x:f>IF(OR(A107="",F107=""),"",F107*1000)</x:f>
      </x:c>
      <x:c r="J107" s="553" t="n"/>
      <x:c r="K107" s="553" t="str">
        <x:f>IF(A107="","",I107-J107)</x:f>
      </x:c>
      <x:c r="L107" s="524"/>
      <x:c r="M107" s="524"/>
      <x:c r="N107" s="524"/>
      <x:c r="O107" s="524"/>
    </x:row>
    <x:row r="108">
      <x:c r="A108" s="524"/>
      <x:c r="B108" s="538" t="n"/>
      <x:c r="C108" s="524"/>
      <x:c r="D108" s="524"/>
      <x:c r="E108" s="524"/>
      <x:c r="F108" s="552" t="n"/>
      <x:c r="G108" s="551" t="n"/>
      <x:c r="H108" s="551" t="str">
        <x:f>IF(OR(A108="",F108="",F108=0,G108=""),"",G108/F108)</x:f>
      </x:c>
      <x:c r="I108" s="553" t="str">
        <x:f>IF(OR(A108="",F108=""),"",F108*1000)</x:f>
      </x:c>
      <x:c r="J108" s="553" t="n"/>
      <x:c r="K108" s="553" t="str">
        <x:f>IF(A108="","",I108-J108)</x:f>
      </x:c>
      <x:c r="L108" s="524"/>
      <x:c r="M108" s="524"/>
      <x:c r="N108" s="524"/>
      <x:c r="O108" s="524"/>
    </x:row>
    <x:row r="109">
      <x:c r="A109" s="524"/>
      <x:c r="B109" s="538" t="n"/>
      <x:c r="C109" s="524"/>
      <x:c r="D109" s="524"/>
      <x:c r="E109" s="524"/>
      <x:c r="F109" s="552" t="n"/>
      <x:c r="G109" s="551" t="n"/>
      <x:c r="H109" s="551" t="str">
        <x:f>IF(OR(A109="",F109="",F109=0,G109=""),"",G109/F109)</x:f>
      </x:c>
      <x:c r="I109" s="553" t="str">
        <x:f>IF(OR(A109="",F109=""),"",F109*1000)</x:f>
      </x:c>
      <x:c r="J109" s="553" t="n"/>
      <x:c r="K109" s="553" t="str">
        <x:f>IF(A109="","",I109-J109)</x:f>
      </x:c>
      <x:c r="L109" s="524"/>
      <x:c r="M109" s="524"/>
      <x:c r="N109" s="524"/>
      <x:c r="O109" s="524"/>
    </x:row>
    <x:row r="110">
      <x:c r="A110" s="524"/>
      <x:c r="B110" s="538" t="n"/>
      <x:c r="C110" s="524"/>
      <x:c r="D110" s="524"/>
      <x:c r="E110" s="524"/>
      <x:c r="F110" s="552" t="n"/>
      <x:c r="G110" s="551" t="n"/>
      <x:c r="H110" s="551" t="str">
        <x:f>IF(OR(A110="",F110="",F110=0,G110=""),"",G110/F110)</x:f>
      </x:c>
      <x:c r="I110" s="553" t="str">
        <x:f>IF(OR(A110="",F110=""),"",F110*1000)</x:f>
      </x:c>
      <x:c r="J110" s="553" t="n"/>
      <x:c r="K110" s="553" t="str">
        <x:f>IF(A110="","",I110-J110)</x:f>
      </x:c>
      <x:c r="L110" s="524"/>
      <x:c r="M110" s="524"/>
      <x:c r="N110" s="524"/>
      <x:c r="O110" s="524"/>
    </x:row>
    <x:row r="111">
      <x:c r="A111" s="524"/>
      <x:c r="B111" s="538" t="n"/>
      <x:c r="C111" s="524"/>
      <x:c r="D111" s="524"/>
      <x:c r="E111" s="524"/>
      <x:c r="F111" s="552" t="n"/>
      <x:c r="G111" s="551" t="n"/>
      <x:c r="H111" s="551" t="str">
        <x:f>IF(OR(A111="",F111="",F111=0,G111=""),"",G111/F111)</x:f>
      </x:c>
      <x:c r="I111" s="553" t="str">
        <x:f>IF(OR(A111="",F111=""),"",F111*1000)</x:f>
      </x:c>
      <x:c r="J111" s="553" t="n"/>
      <x:c r="K111" s="553" t="str">
        <x:f>IF(A111="","",I111-J111)</x:f>
      </x:c>
      <x:c r="L111" s="524"/>
      <x:c r="M111" s="524"/>
      <x:c r="N111" s="524"/>
      <x:c r="O111" s="524"/>
    </x:row>
    <x:row r="112">
      <x:c r="A112" s="524"/>
      <x:c r="B112" s="538" t="n"/>
      <x:c r="C112" s="524"/>
      <x:c r="D112" s="524"/>
      <x:c r="E112" s="524"/>
      <x:c r="F112" s="552" t="n"/>
      <x:c r="G112" s="551" t="n"/>
      <x:c r="H112" s="551" t="str">
        <x:f>IF(OR(A112="",F112="",F112=0,G112=""),"",G112/F112)</x:f>
      </x:c>
      <x:c r="I112" s="553" t="str">
        <x:f>IF(OR(A112="",F112=""),"",F112*1000)</x:f>
      </x:c>
      <x:c r="J112" s="553" t="n"/>
      <x:c r="K112" s="553" t="str">
        <x:f>IF(A112="","",I112-J112)</x:f>
      </x:c>
      <x:c r="L112" s="524"/>
      <x:c r="M112" s="524"/>
      <x:c r="N112" s="524"/>
      <x:c r="O112" s="524"/>
    </x:row>
    <x:row r="113">
      <x:c r="A113" s="524"/>
      <x:c r="B113" s="538" t="n"/>
      <x:c r="C113" s="524"/>
      <x:c r="D113" s="524"/>
      <x:c r="E113" s="524"/>
      <x:c r="F113" s="552" t="n"/>
      <x:c r="G113" s="551" t="n"/>
      <x:c r="H113" s="551" t="str">
        <x:f>IF(OR(A113="",F113="",F113=0,G113=""),"",G113/F113)</x:f>
      </x:c>
      <x:c r="I113" s="553" t="str">
        <x:f>IF(OR(A113="",F113=""),"",F113*1000)</x:f>
      </x:c>
      <x:c r="J113" s="553" t="n"/>
      <x:c r="K113" s="553" t="str">
        <x:f>IF(A113="","",I113-J113)</x:f>
      </x:c>
      <x:c r="L113" s="524"/>
      <x:c r="M113" s="524"/>
      <x:c r="N113" s="524"/>
      <x:c r="O113" s="524"/>
    </x:row>
    <x:row r="114">
      <x:c r="A114" s="524"/>
      <x:c r="B114" s="538" t="n"/>
      <x:c r="C114" s="524"/>
      <x:c r="D114" s="524"/>
      <x:c r="E114" s="524"/>
      <x:c r="F114" s="552" t="n"/>
      <x:c r="G114" s="551" t="n"/>
      <x:c r="H114" s="551" t="str">
        <x:f>IF(OR(A114="",F114="",F114=0,G114=""),"",G114/F114)</x:f>
      </x:c>
      <x:c r="I114" s="553" t="str">
        <x:f>IF(OR(A114="",F114=""),"",F114*1000)</x:f>
      </x:c>
      <x:c r="J114" s="553" t="n"/>
      <x:c r="K114" s="553" t="str">
        <x:f>IF(A114="","",I114-J114)</x:f>
      </x:c>
      <x:c r="L114" s="524"/>
      <x:c r="M114" s="524"/>
      <x:c r="N114" s="524"/>
      <x:c r="O114" s="524"/>
    </x:row>
    <x:row r="115">
      <x:c r="A115" s="524"/>
      <x:c r="B115" s="538" t="n"/>
      <x:c r="C115" s="524"/>
      <x:c r="D115" s="524"/>
      <x:c r="E115" s="524"/>
      <x:c r="F115" s="552" t="n"/>
      <x:c r="G115" s="551" t="n"/>
      <x:c r="H115" s="551" t="str">
        <x:f>IF(OR(A115="",F115="",F115=0,G115=""),"",G115/F115)</x:f>
      </x:c>
      <x:c r="I115" s="553" t="str">
        <x:f>IF(OR(A115="",F115=""),"",F115*1000)</x:f>
      </x:c>
      <x:c r="J115" s="553" t="n"/>
      <x:c r="K115" s="553" t="str">
        <x:f>IF(A115="","",I115-J115)</x:f>
      </x:c>
      <x:c r="L115" s="524"/>
      <x:c r="M115" s="524"/>
      <x:c r="N115" s="524"/>
      <x:c r="O115" s="524"/>
    </x:row>
    <x:row r="116">
      <x:c r="A116" s="524"/>
      <x:c r="B116" s="538" t="n"/>
      <x:c r="C116" s="524"/>
      <x:c r="D116" s="524"/>
      <x:c r="E116" s="524"/>
      <x:c r="F116" s="552" t="n"/>
      <x:c r="G116" s="551" t="n"/>
      <x:c r="H116" s="551" t="str">
        <x:f>IF(OR(A116="",F116="",F116=0,G116=""),"",G116/F116)</x:f>
      </x:c>
      <x:c r="I116" s="553" t="str">
        <x:f>IF(OR(A116="",F116=""),"",F116*1000)</x:f>
      </x:c>
      <x:c r="J116" s="553" t="n"/>
      <x:c r="K116" s="553" t="str">
        <x:f>IF(A116="","",I116-J116)</x:f>
      </x:c>
      <x:c r="L116" s="524"/>
      <x:c r="M116" s="524"/>
      <x:c r="N116" s="524"/>
      <x:c r="O116" s="524"/>
    </x:row>
    <x:row r="117">
      <x:c r="A117" s="524"/>
      <x:c r="B117" s="538" t="n"/>
      <x:c r="C117" s="524"/>
      <x:c r="D117" s="524"/>
      <x:c r="E117" s="524"/>
      <x:c r="F117" s="552" t="n"/>
      <x:c r="G117" s="551" t="n"/>
      <x:c r="H117" s="551" t="str">
        <x:f>IF(OR(A117="",F117="",F117=0,G117=""),"",G117/F117)</x:f>
      </x:c>
      <x:c r="I117" s="553" t="str">
        <x:f>IF(OR(A117="",F117=""),"",F117*1000)</x:f>
      </x:c>
      <x:c r="J117" s="553" t="n"/>
      <x:c r="K117" s="553" t="str">
        <x:f>IF(A117="","",I117-J117)</x:f>
      </x:c>
      <x:c r="L117" s="524"/>
      <x:c r="M117" s="524"/>
      <x:c r="N117" s="524"/>
      <x:c r="O117" s="524"/>
    </x:row>
    <x:row r="118">
      <x:c r="A118" s="524"/>
      <x:c r="B118" s="538" t="n"/>
      <x:c r="C118" s="524"/>
      <x:c r="D118" s="524"/>
      <x:c r="E118" s="524"/>
      <x:c r="F118" s="552" t="n"/>
      <x:c r="G118" s="551" t="n"/>
      <x:c r="H118" s="551" t="str">
        <x:f>IF(OR(A118="",F118="",F118=0,G118=""),"",G118/F118)</x:f>
      </x:c>
      <x:c r="I118" s="553" t="str">
        <x:f>IF(OR(A118="",F118=""),"",F118*1000)</x:f>
      </x:c>
      <x:c r="J118" s="553" t="n"/>
      <x:c r="K118" s="553" t="str">
        <x:f>IF(A118="","",I118-J118)</x:f>
      </x:c>
      <x:c r="L118" s="524"/>
      <x:c r="M118" s="524"/>
      <x:c r="N118" s="524"/>
      <x:c r="O118" s="524"/>
    </x:row>
    <x:row r="119">
      <x:c r="A119" s="524"/>
      <x:c r="B119" s="538" t="n"/>
      <x:c r="C119" s="524"/>
      <x:c r="D119" s="524"/>
      <x:c r="E119" s="524"/>
      <x:c r="F119" s="552" t="n"/>
      <x:c r="G119" s="551" t="n"/>
      <x:c r="H119" s="551" t="str">
        <x:f>IF(OR(A119="",F119="",F119=0,G119=""),"",G119/F119)</x:f>
      </x:c>
      <x:c r="I119" s="553" t="str">
        <x:f>IF(OR(A119="",F119=""),"",F119*1000)</x:f>
      </x:c>
      <x:c r="J119" s="553" t="n"/>
      <x:c r="K119" s="553" t="str">
        <x:f>IF(A119="","",I119-J119)</x:f>
      </x:c>
      <x:c r="L119" s="524"/>
      <x:c r="M119" s="524"/>
      <x:c r="N119" s="524"/>
      <x:c r="O119" s="524"/>
    </x:row>
    <x:row r="120">
      <x:c r="A120" s="524"/>
      <x:c r="B120" s="538" t="n"/>
      <x:c r="C120" s="524"/>
      <x:c r="D120" s="524"/>
      <x:c r="E120" s="524"/>
      <x:c r="F120" s="552" t="n"/>
      <x:c r="G120" s="551" t="n"/>
      <x:c r="H120" s="551" t="str">
        <x:f>IF(OR(A120="",F120="",F120=0,G120=""),"",G120/F120)</x:f>
      </x:c>
      <x:c r="I120" s="553" t="str">
        <x:f>IF(OR(A120="",F120=""),"",F120*1000)</x:f>
      </x:c>
      <x:c r="J120" s="553" t="n"/>
      <x:c r="K120" s="553" t="str">
        <x:f>IF(A120="","",I120-J120)</x:f>
      </x:c>
      <x:c r="L120" s="524"/>
      <x:c r="M120" s="524"/>
      <x:c r="N120" s="524"/>
      <x:c r="O120" s="524"/>
    </x:row>
    <x:row r="121">
      <x:c r="A121" s="524"/>
      <x:c r="B121" s="538" t="n"/>
      <x:c r="C121" s="524"/>
      <x:c r="D121" s="524"/>
      <x:c r="E121" s="524"/>
      <x:c r="F121" s="552" t="n"/>
      <x:c r="G121" s="551" t="n"/>
      <x:c r="H121" s="551" t="str">
        <x:f>IF(OR(A121="",F121="",F121=0,G121=""),"",G121/F121)</x:f>
      </x:c>
      <x:c r="I121" s="553" t="str">
        <x:f>IF(OR(A121="",F121=""),"",F121*1000)</x:f>
      </x:c>
      <x:c r="J121" s="553" t="n"/>
      <x:c r="K121" s="553" t="str">
        <x:f>IF(A121="","",I121-J121)</x:f>
      </x:c>
      <x:c r="L121" s="524"/>
      <x:c r="M121" s="524"/>
      <x:c r="N121" s="524"/>
      <x:c r="O121" s="524"/>
    </x:row>
    <x:row r="122">
      <x:c r="A122" s="524"/>
      <x:c r="B122" s="538" t="n"/>
      <x:c r="C122" s="524"/>
      <x:c r="D122" s="524"/>
      <x:c r="E122" s="524"/>
      <x:c r="F122" s="552" t="n"/>
      <x:c r="G122" s="551" t="n"/>
      <x:c r="H122" s="551" t="str">
        <x:f>IF(OR(A122="",F122="",F122=0,G122=""),"",G122/F122)</x:f>
      </x:c>
      <x:c r="I122" s="553" t="str">
        <x:f>IF(OR(A122="",F122=""),"",F122*1000)</x:f>
      </x:c>
      <x:c r="J122" s="553" t="n"/>
      <x:c r="K122" s="553" t="str">
        <x:f>IF(A122="","",I122-J122)</x:f>
      </x:c>
      <x:c r="L122" s="524"/>
      <x:c r="M122" s="524"/>
      <x:c r="N122" s="524"/>
      <x:c r="O122" s="524"/>
    </x:row>
    <x:row r="123">
      <x:c r="A123" s="524"/>
      <x:c r="B123" s="538" t="n"/>
      <x:c r="C123" s="524"/>
      <x:c r="D123" s="524"/>
      <x:c r="E123" s="524"/>
      <x:c r="F123" s="552" t="n"/>
      <x:c r="G123" s="551" t="n"/>
      <x:c r="H123" s="551" t="str">
        <x:f>IF(OR(A123="",F123="",F123=0,G123=""),"",G123/F123)</x:f>
      </x:c>
      <x:c r="I123" s="553" t="str">
        <x:f>IF(OR(A123="",F123=""),"",F123*1000)</x:f>
      </x:c>
      <x:c r="J123" s="553" t="n"/>
      <x:c r="K123" s="553" t="str">
        <x:f>IF(A123="","",I123-J123)</x:f>
      </x:c>
      <x:c r="L123" s="524"/>
      <x:c r="M123" s="524"/>
      <x:c r="N123" s="524"/>
      <x:c r="O123" s="524"/>
    </x:row>
    <x:row r="124">
      <x:c r="A124" s="524"/>
      <x:c r="B124" s="538" t="n"/>
      <x:c r="C124" s="524"/>
      <x:c r="D124" s="524"/>
      <x:c r="E124" s="524"/>
      <x:c r="F124" s="552" t="n"/>
      <x:c r="G124" s="551" t="n"/>
      <x:c r="H124" s="551" t="str">
        <x:f>IF(OR(A124="",F124="",F124=0,G124=""),"",G124/F124)</x:f>
      </x:c>
      <x:c r="I124" s="553" t="str">
        <x:f>IF(OR(A124="",F124=""),"",F124*1000)</x:f>
      </x:c>
      <x:c r="J124" s="553" t="n"/>
      <x:c r="K124" s="553" t="str">
        <x:f>IF(A124="","",I124-J124)</x:f>
      </x:c>
      <x:c r="L124" s="524"/>
      <x:c r="M124" s="524"/>
      <x:c r="N124" s="524"/>
      <x:c r="O124" s="524"/>
    </x:row>
    <x:row r="125">
      <x:c r="A125" s="524"/>
      <x:c r="B125" s="538" t="n"/>
      <x:c r="C125" s="524"/>
      <x:c r="D125" s="524"/>
      <x:c r="E125" s="524"/>
      <x:c r="F125" s="552" t="n"/>
      <x:c r="G125" s="551" t="n"/>
      <x:c r="H125" s="551" t="str">
        <x:f>IF(OR(A125="",F125="",F125=0,G125=""),"",G125/F125)</x:f>
      </x:c>
      <x:c r="I125" s="553" t="str">
        <x:f>IF(OR(A125="",F125=""),"",F125*1000)</x:f>
      </x:c>
      <x:c r="J125" s="553" t="n"/>
      <x:c r="K125" s="553" t="str">
        <x:f>IF(A125="","",I125-J125)</x:f>
      </x:c>
      <x:c r="L125" s="524"/>
      <x:c r="M125" s="524"/>
      <x:c r="N125" s="524"/>
      <x:c r="O125" s="524"/>
    </x:row>
    <x:row r="126">
      <x:c r="A126" s="524"/>
      <x:c r="B126" s="538" t="n"/>
      <x:c r="C126" s="524"/>
      <x:c r="D126" s="524"/>
      <x:c r="E126" s="524"/>
      <x:c r="F126" s="552" t="n"/>
      <x:c r="G126" s="551" t="n"/>
      <x:c r="H126" s="551" t="str">
        <x:f>IF(OR(A126="",F126="",F126=0,G126=""),"",G126/F126)</x:f>
      </x:c>
      <x:c r="I126" s="553" t="str">
        <x:f>IF(OR(A126="",F126=""),"",F126*1000)</x:f>
      </x:c>
      <x:c r="J126" s="553" t="n"/>
      <x:c r="K126" s="553" t="str">
        <x:f>IF(A126="","",I126-J126)</x:f>
      </x:c>
      <x:c r="L126" s="524"/>
      <x:c r="M126" s="524"/>
      <x:c r="N126" s="524"/>
      <x:c r="O126" s="524"/>
    </x:row>
    <x:row r="127">
      <x:c r="A127" s="524"/>
      <x:c r="B127" s="538" t="n"/>
      <x:c r="C127" s="524"/>
      <x:c r="D127" s="524"/>
      <x:c r="E127" s="524"/>
      <x:c r="F127" s="552" t="n"/>
      <x:c r="G127" s="551" t="n"/>
      <x:c r="H127" s="551" t="str">
        <x:f>IF(OR(A127="",F127="",F127=0,G127=""),"",G127/F127)</x:f>
      </x:c>
      <x:c r="I127" s="553" t="str">
        <x:f>IF(OR(A127="",F127=""),"",F127*1000)</x:f>
      </x:c>
      <x:c r="J127" s="553" t="n"/>
      <x:c r="K127" s="553" t="str">
        <x:f>IF(A127="","",I127-J127)</x:f>
      </x:c>
      <x:c r="L127" s="524"/>
      <x:c r="M127" s="524"/>
      <x:c r="N127" s="524"/>
      <x:c r="O127" s="524"/>
    </x:row>
    <x:row r="128">
      <x:c r="A128" s="524"/>
      <x:c r="B128" s="538" t="n"/>
      <x:c r="C128" s="524"/>
      <x:c r="D128" s="524"/>
      <x:c r="E128" s="524"/>
      <x:c r="F128" s="552" t="n"/>
      <x:c r="G128" s="551" t="n"/>
      <x:c r="H128" s="551" t="str">
        <x:f>IF(OR(A128="",F128="",F128=0,G128=""),"",G128/F128)</x:f>
      </x:c>
      <x:c r="I128" s="553" t="str">
        <x:f>IF(OR(A128="",F128=""),"",F128*1000)</x:f>
      </x:c>
      <x:c r="J128" s="553" t="n"/>
      <x:c r="K128" s="553" t="str">
        <x:f>IF(A128="","",I128-J128)</x:f>
      </x:c>
      <x:c r="L128" s="524"/>
      <x:c r="M128" s="524"/>
      <x:c r="N128" s="524"/>
      <x:c r="O128" s="524"/>
    </x:row>
    <x:row r="129">
      <x:c r="A129" s="524"/>
      <x:c r="B129" s="538" t="n"/>
      <x:c r="C129" s="524"/>
      <x:c r="D129" s="524"/>
      <x:c r="E129" s="524"/>
      <x:c r="F129" s="552" t="n"/>
      <x:c r="G129" s="551" t="n"/>
      <x:c r="H129" s="551" t="str">
        <x:f>IF(OR(A129="",F129="",F129=0,G129=""),"",G129/F129)</x:f>
      </x:c>
      <x:c r="I129" s="553" t="str">
        <x:f>IF(OR(A129="",F129=""),"",F129*1000)</x:f>
      </x:c>
      <x:c r="J129" s="553" t="n"/>
      <x:c r="K129" s="553" t="str">
        <x:f>IF(A129="","",I129-J129)</x:f>
      </x:c>
      <x:c r="L129" s="524"/>
      <x:c r="M129" s="524"/>
      <x:c r="N129" s="524"/>
      <x:c r="O129" s="524"/>
    </x:row>
    <x:row r="130">
      <x:c r="A130" s="524"/>
      <x:c r="B130" s="538" t="n"/>
      <x:c r="C130" s="524"/>
      <x:c r="D130" s="524"/>
      <x:c r="E130" s="524"/>
      <x:c r="F130" s="552" t="n"/>
      <x:c r="G130" s="551" t="n"/>
      <x:c r="H130" s="551" t="str">
        <x:f>IF(OR(A130="",F130="",F130=0,G130=""),"",G130/F130)</x:f>
      </x:c>
      <x:c r="I130" s="553" t="str">
        <x:f>IF(OR(A130="",F130=""),"",F130*1000)</x:f>
      </x:c>
      <x:c r="J130" s="553" t="n"/>
      <x:c r="K130" s="553" t="str">
        <x:f>IF(A130="","",I130-J130)</x:f>
      </x:c>
      <x:c r="L130" s="524"/>
      <x:c r="M130" s="524"/>
      <x:c r="N130" s="524"/>
      <x:c r="O130" s="524"/>
    </x:row>
    <x:row r="131">
      <x:c r="A131" s="524"/>
      <x:c r="B131" s="538" t="n"/>
      <x:c r="C131" s="524"/>
      <x:c r="D131" s="524"/>
      <x:c r="E131" s="524"/>
      <x:c r="F131" s="552" t="n"/>
      <x:c r="G131" s="551" t="n"/>
      <x:c r="H131" s="551" t="str">
        <x:f>IF(OR(A131="",F131="",F131=0,G131=""),"",G131/F131)</x:f>
      </x:c>
      <x:c r="I131" s="553" t="str">
        <x:f>IF(OR(A131="",F131=""),"",F131*1000)</x:f>
      </x:c>
      <x:c r="J131" s="553" t="n"/>
      <x:c r="K131" s="553" t="str">
        <x:f>IF(A131="","",I131-J131)</x:f>
      </x:c>
      <x:c r="L131" s="524"/>
      <x:c r="M131" s="524"/>
      <x:c r="N131" s="524"/>
      <x:c r="O131" s="524"/>
    </x:row>
    <x:row r="132">
      <x:c r="A132" s="524"/>
      <x:c r="B132" s="538" t="n"/>
      <x:c r="C132" s="524"/>
      <x:c r="D132" s="524"/>
      <x:c r="E132" s="524"/>
      <x:c r="F132" s="552" t="n"/>
      <x:c r="G132" s="551" t="n"/>
      <x:c r="H132" s="551" t="str">
        <x:f>IF(OR(A132="",F132="",F132=0,G132=""),"",G132/F132)</x:f>
      </x:c>
      <x:c r="I132" s="553" t="str">
        <x:f>IF(OR(A132="",F132=""),"",F132*1000)</x:f>
      </x:c>
      <x:c r="J132" s="553" t="n"/>
      <x:c r="K132" s="553" t="str">
        <x:f>IF(A132="","",I132-J132)</x:f>
      </x:c>
      <x:c r="L132" s="524"/>
      <x:c r="M132" s="524"/>
      <x:c r="N132" s="524"/>
      <x:c r="O132" s="524"/>
    </x:row>
    <x:row r="133">
      <x:c r="A133" s="524"/>
      <x:c r="B133" s="538" t="n"/>
      <x:c r="C133" s="524"/>
      <x:c r="D133" s="524"/>
      <x:c r="E133" s="524"/>
      <x:c r="F133" s="552" t="n"/>
      <x:c r="G133" s="551" t="n"/>
      <x:c r="H133" s="551" t="str">
        <x:f>IF(OR(A133="",F133="",F133=0,G133=""),"",G133/F133)</x:f>
      </x:c>
      <x:c r="I133" s="553" t="str">
        <x:f>IF(OR(A133="",F133=""),"",F133*1000)</x:f>
      </x:c>
      <x:c r="J133" s="553" t="n"/>
      <x:c r="K133" s="553" t="str">
        <x:f>IF(A133="","",I133-J133)</x:f>
      </x:c>
      <x:c r="L133" s="524"/>
      <x:c r="M133" s="524"/>
      <x:c r="N133" s="524"/>
      <x:c r="O133" s="524"/>
    </x:row>
    <x:row r="134">
      <x:c r="A134" s="524"/>
      <x:c r="B134" s="538" t="n"/>
      <x:c r="C134" s="524"/>
      <x:c r="D134" s="524"/>
      <x:c r="E134" s="524"/>
      <x:c r="F134" s="552" t="n"/>
      <x:c r="G134" s="551" t="n"/>
      <x:c r="H134" s="551" t="str">
        <x:f>IF(OR(A134="",F134="",F134=0,G134=""),"",G134/F134)</x:f>
      </x:c>
      <x:c r="I134" s="553" t="str">
        <x:f>IF(OR(A134="",F134=""),"",F134*1000)</x:f>
      </x:c>
      <x:c r="J134" s="553" t="n"/>
      <x:c r="K134" s="553" t="str">
        <x:f>IF(A134="","",I134-J134)</x:f>
      </x:c>
      <x:c r="L134" s="524"/>
      <x:c r="M134" s="524"/>
      <x:c r="N134" s="524"/>
      <x:c r="O134" s="524"/>
    </x:row>
    <x:row r="135">
      <x:c r="A135" s="524"/>
      <x:c r="B135" s="538" t="n"/>
      <x:c r="C135" s="524"/>
      <x:c r="D135" s="524"/>
      <x:c r="E135" s="524"/>
      <x:c r="F135" s="552" t="n"/>
      <x:c r="G135" s="551" t="n"/>
      <x:c r="H135" s="551" t="str">
        <x:f>IF(OR(A135="",F135="",F135=0,G135=""),"",G135/F135)</x:f>
      </x:c>
      <x:c r="I135" s="553" t="str">
        <x:f>IF(OR(A135="",F135=""),"",F135*1000)</x:f>
      </x:c>
      <x:c r="J135" s="553" t="n"/>
      <x:c r="K135" s="553" t="str">
        <x:f>IF(A135="","",I135-J135)</x:f>
      </x:c>
      <x:c r="L135" s="524"/>
      <x:c r="M135" s="524"/>
      <x:c r="N135" s="524"/>
      <x:c r="O135" s="524"/>
    </x:row>
    <x:row r="136">
      <x:c r="A136" s="524"/>
      <x:c r="B136" s="538" t="n"/>
      <x:c r="C136" s="524"/>
      <x:c r="D136" s="524"/>
      <x:c r="E136" s="524"/>
      <x:c r="F136" s="552" t="n"/>
      <x:c r="G136" s="551" t="n"/>
      <x:c r="H136" s="551" t="str">
        <x:f>IF(OR(A136="",F136="",F136=0,G136=""),"",G136/F136)</x:f>
      </x:c>
      <x:c r="I136" s="553" t="str">
        <x:f>IF(OR(A136="",F136=""),"",F136*1000)</x:f>
      </x:c>
      <x:c r="J136" s="553" t="n"/>
      <x:c r="K136" s="553" t="str">
        <x:f>IF(A136="","",I136-J136)</x:f>
      </x:c>
      <x:c r="L136" s="524"/>
      <x:c r="M136" s="524"/>
      <x:c r="N136" s="524"/>
      <x:c r="O136" s="524"/>
    </x:row>
    <x:row r="137">
      <x:c r="A137" s="524"/>
      <x:c r="B137" s="538" t="n"/>
      <x:c r="C137" s="524"/>
      <x:c r="D137" s="524"/>
      <x:c r="E137" s="524"/>
      <x:c r="F137" s="552" t="n"/>
      <x:c r="G137" s="551" t="n"/>
      <x:c r="H137" s="551" t="str">
        <x:f>IF(OR(A137="",F137="",F137=0,G137=""),"",G137/F137)</x:f>
      </x:c>
      <x:c r="I137" s="553" t="str">
        <x:f>IF(OR(A137="",F137=""),"",F137*1000)</x:f>
      </x:c>
      <x:c r="J137" s="553" t="n"/>
      <x:c r="K137" s="553" t="str">
        <x:f>IF(A137="","",I137-J137)</x:f>
      </x:c>
      <x:c r="L137" s="524"/>
      <x:c r="M137" s="524"/>
      <x:c r="N137" s="524"/>
      <x:c r="O137" s="524"/>
    </x:row>
    <x:row r="138">
      <x:c r="A138" s="524"/>
      <x:c r="B138" s="538" t="n"/>
      <x:c r="C138" s="524"/>
      <x:c r="D138" s="524"/>
      <x:c r="E138" s="524"/>
      <x:c r="F138" s="552" t="n"/>
      <x:c r="G138" s="551" t="n"/>
      <x:c r="H138" s="551" t="str">
        <x:f>IF(OR(A138="",F138="",F138=0,G138=""),"",G138/F138)</x:f>
      </x:c>
      <x:c r="I138" s="553" t="str">
        <x:f>IF(OR(A138="",F138=""),"",F138*1000)</x:f>
      </x:c>
      <x:c r="J138" s="553" t="n"/>
      <x:c r="K138" s="553" t="str">
        <x:f>IF(A138="","",I138-J138)</x:f>
      </x:c>
      <x:c r="L138" s="524"/>
      <x:c r="M138" s="524"/>
      <x:c r="N138" s="524"/>
      <x:c r="O138" s="524"/>
    </x:row>
    <x:row r="139">
      <x:c r="A139" s="524"/>
      <x:c r="B139" s="538" t="n"/>
      <x:c r="C139" s="524"/>
      <x:c r="D139" s="524"/>
      <x:c r="E139" s="524"/>
      <x:c r="F139" s="552" t="n"/>
      <x:c r="G139" s="551" t="n"/>
      <x:c r="H139" s="551" t="str">
        <x:f>IF(OR(A139="",F139="",F139=0,G139=""),"",G139/F139)</x:f>
      </x:c>
      <x:c r="I139" s="553" t="str">
        <x:f>IF(OR(A139="",F139=""),"",F139*1000)</x:f>
      </x:c>
      <x:c r="J139" s="553" t="n"/>
      <x:c r="K139" s="553" t="str">
        <x:f>IF(A139="","",I139-J139)</x:f>
      </x:c>
      <x:c r="L139" s="524"/>
      <x:c r="M139" s="524"/>
      <x:c r="N139" s="524"/>
      <x:c r="O139" s="524"/>
    </x:row>
    <x:row r="140">
      <x:c r="A140" s="524"/>
      <x:c r="B140" s="538" t="n"/>
      <x:c r="C140" s="524"/>
      <x:c r="D140" s="524"/>
      <x:c r="E140" s="524"/>
      <x:c r="F140" s="552" t="n"/>
      <x:c r="G140" s="551" t="n"/>
      <x:c r="H140" s="551" t="str">
        <x:f>IF(OR(A140="",F140="",F140=0,G140=""),"",G140/F140)</x:f>
      </x:c>
      <x:c r="I140" s="553" t="str">
        <x:f>IF(OR(A140="",F140=""),"",F140*1000)</x:f>
      </x:c>
      <x:c r="J140" s="553" t="n"/>
      <x:c r="K140" s="553" t="str">
        <x:f>IF(A140="","",I140-J140)</x:f>
      </x:c>
      <x:c r="L140" s="524"/>
      <x:c r="M140" s="524"/>
      <x:c r="N140" s="524"/>
      <x:c r="O140" s="524"/>
    </x:row>
    <x:row r="141">
      <x:c r="A141" s="524"/>
      <x:c r="B141" s="538" t="n"/>
      <x:c r="C141" s="524"/>
      <x:c r="D141" s="524"/>
      <x:c r="E141" s="524"/>
      <x:c r="F141" s="552" t="n"/>
      <x:c r="G141" s="551" t="n"/>
      <x:c r="H141" s="551" t="str">
        <x:f>IF(OR(A141="",F141="",F141=0,G141=""),"",G141/F141)</x:f>
      </x:c>
      <x:c r="I141" s="553" t="str">
        <x:f>IF(OR(A141="",F141=""),"",F141*1000)</x:f>
      </x:c>
      <x:c r="J141" s="553" t="n"/>
      <x:c r="K141" s="553" t="str">
        <x:f>IF(A141="","",I141-J141)</x:f>
      </x:c>
      <x:c r="L141" s="524"/>
      <x:c r="M141" s="524"/>
      <x:c r="N141" s="524"/>
      <x:c r="O141" s="524"/>
    </x:row>
    <x:row r="142">
      <x:c r="A142" s="524"/>
      <x:c r="B142" s="538" t="n"/>
      <x:c r="C142" s="524"/>
      <x:c r="D142" s="524"/>
      <x:c r="E142" s="524"/>
      <x:c r="F142" s="552" t="n"/>
      <x:c r="G142" s="551" t="n"/>
      <x:c r="H142" s="551" t="str">
        <x:f>IF(OR(A142="",F142="",F142=0,G142=""),"",G142/F142)</x:f>
      </x:c>
      <x:c r="I142" s="553" t="str">
        <x:f>IF(OR(A142="",F142=""),"",F142*1000)</x:f>
      </x:c>
      <x:c r="J142" s="553" t="n"/>
      <x:c r="K142" s="553" t="str">
        <x:f>IF(A142="","",I142-J142)</x:f>
      </x:c>
      <x:c r="L142" s="524"/>
      <x:c r="M142" s="524"/>
      <x:c r="N142" s="524"/>
      <x:c r="O142" s="524"/>
    </x:row>
    <x:row r="143">
      <x:c r="A143" s="524"/>
      <x:c r="B143" s="538" t="n"/>
      <x:c r="C143" s="524"/>
      <x:c r="D143" s="524"/>
      <x:c r="E143" s="524"/>
      <x:c r="F143" s="552" t="n"/>
      <x:c r="G143" s="551" t="n"/>
      <x:c r="H143" s="551" t="str">
        <x:f>IF(OR(A143="",F143="",F143=0,G143=""),"",G143/F143)</x:f>
      </x:c>
      <x:c r="I143" s="553" t="str">
        <x:f>IF(OR(A143="",F143=""),"",F143*1000)</x:f>
      </x:c>
      <x:c r="J143" s="553" t="n"/>
      <x:c r="K143" s="553" t="str">
        <x:f>IF(A143="","",I143-J143)</x:f>
      </x:c>
      <x:c r="L143" s="524"/>
      <x:c r="M143" s="524"/>
      <x:c r="N143" s="524"/>
      <x:c r="O143" s="524"/>
    </x:row>
    <x:row r="144">
      <x:c r="A144" s="524"/>
      <x:c r="B144" s="538" t="n"/>
      <x:c r="C144" s="524"/>
      <x:c r="D144" s="524"/>
      <x:c r="E144" s="524"/>
      <x:c r="F144" s="552" t="n"/>
      <x:c r="G144" s="551" t="n"/>
      <x:c r="H144" s="551" t="str">
        <x:f>IF(OR(A144="",F144="",F144=0,G144=""),"",G144/F144)</x:f>
      </x:c>
      <x:c r="I144" s="553" t="str">
        <x:f>IF(OR(A144="",F144=""),"",F144*1000)</x:f>
      </x:c>
      <x:c r="J144" s="553" t="n"/>
      <x:c r="K144" s="553" t="str">
        <x:f>IF(A144="","",I144-J144)</x:f>
      </x:c>
      <x:c r="L144" s="524"/>
      <x:c r="M144" s="524"/>
      <x:c r="N144" s="524"/>
      <x:c r="O144" s="524"/>
    </x:row>
    <x:row r="145">
      <x:c r="A145" s="524"/>
      <x:c r="B145" s="538" t="n"/>
      <x:c r="C145" s="524"/>
      <x:c r="D145" s="524"/>
      <x:c r="E145" s="524"/>
      <x:c r="F145" s="552" t="n"/>
      <x:c r="G145" s="551" t="n"/>
      <x:c r="H145" s="551" t="str">
        <x:f>IF(OR(A145="",F145="",F145=0,G145=""),"",G145/F145)</x:f>
      </x:c>
      <x:c r="I145" s="553" t="str">
        <x:f>IF(OR(A145="",F145=""),"",F145*1000)</x:f>
      </x:c>
      <x:c r="J145" s="553" t="n"/>
      <x:c r="K145" s="553" t="str">
        <x:f>IF(A145="","",I145-J145)</x:f>
      </x:c>
      <x:c r="L145" s="524"/>
      <x:c r="M145" s="524"/>
      <x:c r="N145" s="524"/>
      <x:c r="O145" s="524"/>
    </x:row>
    <x:row r="146">
      <x:c r="A146" s="524"/>
      <x:c r="B146" s="538" t="n"/>
      <x:c r="C146" s="524"/>
      <x:c r="D146" s="524"/>
      <x:c r="E146" s="524"/>
      <x:c r="F146" s="552" t="n"/>
      <x:c r="G146" s="551" t="n"/>
      <x:c r="H146" s="551" t="str">
        <x:f>IF(OR(A146="",F146="",F146=0,G146=""),"",G146/F146)</x:f>
      </x:c>
      <x:c r="I146" s="553" t="str">
        <x:f>IF(OR(A146="",F146=""),"",F146*1000)</x:f>
      </x:c>
      <x:c r="J146" s="553" t="n"/>
      <x:c r="K146" s="553" t="str">
        <x:f>IF(A146="","",I146-J146)</x:f>
      </x:c>
      <x:c r="L146" s="524"/>
      <x:c r="M146" s="524"/>
      <x:c r="N146" s="524"/>
      <x:c r="O146" s="524"/>
    </x:row>
    <x:row r="147">
      <x:c r="A147" s="524"/>
      <x:c r="B147" s="538" t="n"/>
      <x:c r="C147" s="524"/>
      <x:c r="D147" s="524"/>
      <x:c r="E147" s="524"/>
      <x:c r="F147" s="552" t="n"/>
      <x:c r="G147" s="551" t="n"/>
      <x:c r="H147" s="551" t="str">
        <x:f>IF(OR(A147="",F147="",F147=0,G147=""),"",G147/F147)</x:f>
      </x:c>
      <x:c r="I147" s="553" t="str">
        <x:f>IF(OR(A147="",F147=""),"",F147*1000)</x:f>
      </x:c>
      <x:c r="J147" s="553" t="n"/>
      <x:c r="K147" s="553" t="str">
        <x:f>IF(A147="","",I147-J147)</x:f>
      </x:c>
      <x:c r="L147" s="524"/>
      <x:c r="M147" s="524"/>
      <x:c r="N147" s="524"/>
      <x:c r="O147" s="524"/>
    </x:row>
    <x:row r="148">
      <x:c r="A148" s="524"/>
      <x:c r="B148" s="538" t="n"/>
      <x:c r="C148" s="524"/>
      <x:c r="D148" s="524"/>
      <x:c r="E148" s="524"/>
      <x:c r="F148" s="552" t="n"/>
      <x:c r="G148" s="551" t="n"/>
      <x:c r="H148" s="551" t="str">
        <x:f>IF(OR(A148="",F148="",F148=0,G148=""),"",G148/F148)</x:f>
      </x:c>
      <x:c r="I148" s="553" t="str">
        <x:f>IF(OR(A148="",F148=""),"",F148*1000)</x:f>
      </x:c>
      <x:c r="J148" s="553" t="n"/>
      <x:c r="K148" s="553" t="str">
        <x:f>IF(A148="","",I148-J148)</x:f>
      </x:c>
      <x:c r="L148" s="524"/>
      <x:c r="M148" s="524"/>
      <x:c r="N148" s="524"/>
      <x:c r="O148" s="524"/>
    </x:row>
    <x:row r="149">
      <x:c r="A149" s="524"/>
      <x:c r="B149" s="538" t="n"/>
      <x:c r="C149" s="524"/>
      <x:c r="D149" s="524"/>
      <x:c r="E149" s="524"/>
      <x:c r="F149" s="552" t="n"/>
      <x:c r="G149" s="551" t="n"/>
      <x:c r="H149" s="551" t="str">
        <x:f>IF(OR(A149="",F149="",F149=0,G149=""),"",G149/F149)</x:f>
      </x:c>
      <x:c r="I149" s="553" t="str">
        <x:f>IF(OR(A149="",F149=""),"",F149*1000)</x:f>
      </x:c>
      <x:c r="J149" s="553" t="n"/>
      <x:c r="K149" s="553" t="str">
        <x:f>IF(A149="","",I149-J149)</x:f>
      </x:c>
      <x:c r="L149" s="524"/>
      <x:c r="M149" s="524"/>
      <x:c r="N149" s="524"/>
      <x:c r="O149" s="524"/>
    </x:row>
    <x:row r="150">
      <x:c r="A150" s="524"/>
      <x:c r="B150" s="538" t="n"/>
      <x:c r="C150" s="524"/>
      <x:c r="D150" s="524"/>
      <x:c r="E150" s="524"/>
      <x:c r="F150" s="552" t="n"/>
      <x:c r="G150" s="551" t="n"/>
      <x:c r="H150" s="551" t="str">
        <x:f>IF(OR(A150="",F150="",F150=0,G150=""),"",G150/F150)</x:f>
      </x:c>
      <x:c r="I150" s="553" t="str">
        <x:f>IF(OR(A150="",F150=""),"",F150*1000)</x:f>
      </x:c>
      <x:c r="J150" s="553" t="n"/>
      <x:c r="K150" s="553" t="str">
        <x:f>IF(A150="","",I150-J150)</x:f>
      </x:c>
      <x:c r="L150" s="524"/>
      <x:c r="M150" s="524"/>
      <x:c r="N150" s="524"/>
      <x:c r="O150" s="524"/>
    </x:row>
    <x:row r="151">
      <x:c r="A151" s="524"/>
      <x:c r="B151" s="538" t="n"/>
      <x:c r="C151" s="524"/>
      <x:c r="D151" s="524"/>
      <x:c r="E151" s="524"/>
      <x:c r="F151" s="552" t="n"/>
      <x:c r="G151" s="551" t="n"/>
      <x:c r="H151" s="551" t="str">
        <x:f>IF(OR(A151="",F151="",F151=0,G151=""),"",G151/F151)</x:f>
      </x:c>
      <x:c r="I151" s="553" t="str">
        <x:f>IF(OR(A151="",F151=""),"",F151*1000)</x:f>
      </x:c>
      <x:c r="J151" s="553" t="n"/>
      <x:c r="K151" s="553" t="str">
        <x:f>IF(A151="","",I151-J151)</x:f>
      </x:c>
      <x:c r="L151" s="524"/>
      <x:c r="M151" s="524"/>
      <x:c r="N151" s="524"/>
      <x:c r="O151" s="524"/>
    </x:row>
    <x:row r="152">
      <x:c r="A152" s="524"/>
      <x:c r="B152" s="538" t="n"/>
      <x:c r="C152" s="524"/>
      <x:c r="D152" s="524"/>
      <x:c r="E152" s="524"/>
      <x:c r="F152" s="552" t="n"/>
      <x:c r="G152" s="551" t="n"/>
      <x:c r="H152" s="551" t="str">
        <x:f>IF(OR(A152="",F152="",F152=0,G152=""),"",G152/F152)</x:f>
      </x:c>
      <x:c r="I152" s="553" t="str">
        <x:f>IF(OR(A152="",F152=""),"",F152*1000)</x:f>
      </x:c>
      <x:c r="J152" s="553" t="n"/>
      <x:c r="K152" s="553" t="str">
        <x:f>IF(A152="","",I152-J152)</x:f>
      </x:c>
      <x:c r="L152" s="524"/>
      <x:c r="M152" s="524"/>
      <x:c r="N152" s="524"/>
      <x:c r="O152" s="524"/>
    </x:row>
    <x:row r="153">
      <x:c r="A153" s="524"/>
      <x:c r="B153" s="538" t="n"/>
      <x:c r="C153" s="524"/>
      <x:c r="D153" s="524"/>
      <x:c r="E153" s="524"/>
      <x:c r="F153" s="552" t="n"/>
      <x:c r="G153" s="551" t="n"/>
      <x:c r="H153" s="551" t="str">
        <x:f>IF(OR(A153="",F153="",F153=0,G153=""),"",G153/F153)</x:f>
      </x:c>
      <x:c r="I153" s="553" t="str">
        <x:f>IF(OR(A153="",F153=""),"",F153*1000)</x:f>
      </x:c>
      <x:c r="J153" s="553" t="n"/>
      <x:c r="K153" s="553" t="str">
        <x:f>IF(A153="","",I153-J153)</x:f>
      </x:c>
      <x:c r="L153" s="524"/>
      <x:c r="M153" s="524"/>
      <x:c r="N153" s="524"/>
      <x:c r="O153" s="524"/>
    </x:row>
    <x:row r="154">
      <x:c r="A154" s="524"/>
      <x:c r="B154" s="538" t="n"/>
      <x:c r="C154" s="524"/>
      <x:c r="D154" s="524"/>
      <x:c r="E154" s="524"/>
      <x:c r="F154" s="552" t="n"/>
      <x:c r="G154" s="551" t="n"/>
      <x:c r="H154" s="551" t="str">
        <x:f>IF(OR(A154="",F154="",F154=0,G154=""),"",G154/F154)</x:f>
      </x:c>
      <x:c r="I154" s="553" t="str">
        <x:f>IF(OR(A154="",F154=""),"",F154*1000)</x:f>
      </x:c>
      <x:c r="J154" s="553" t="n"/>
      <x:c r="K154" s="553" t="str">
        <x:f>IF(A154="","",I154-J154)</x:f>
      </x:c>
      <x:c r="L154" s="524"/>
      <x:c r="M154" s="524"/>
      <x:c r="N154" s="524"/>
      <x:c r="O154" s="524"/>
    </x:row>
    <x:row r="155">
      <x:c r="A155" s="524"/>
      <x:c r="B155" s="538" t="n"/>
      <x:c r="C155" s="524"/>
      <x:c r="D155" s="524"/>
      <x:c r="E155" s="524"/>
      <x:c r="F155" s="552" t="n"/>
      <x:c r="G155" s="551" t="n"/>
      <x:c r="H155" s="551" t="str">
        <x:f>IF(OR(A155="",F155="",F155=0,G155=""),"",G155/F155)</x:f>
      </x:c>
      <x:c r="I155" s="553" t="str">
        <x:f>IF(OR(A155="",F155=""),"",F155*1000)</x:f>
      </x:c>
      <x:c r="J155" s="553" t="n"/>
      <x:c r="K155" s="553" t="str">
        <x:f>IF(A155="","",I155-J155)</x:f>
      </x:c>
      <x:c r="L155" s="524"/>
      <x:c r="M155" s="524"/>
      <x:c r="N155" s="524"/>
      <x:c r="O155" s="524"/>
    </x:row>
    <x:row r="156">
      <x:c r="A156" s="524"/>
      <x:c r="B156" s="538" t="n"/>
      <x:c r="C156" s="524"/>
      <x:c r="D156" s="524"/>
      <x:c r="E156" s="524"/>
      <x:c r="F156" s="552" t="n"/>
      <x:c r="G156" s="551" t="n"/>
      <x:c r="H156" s="551" t="str">
        <x:f>IF(OR(A156="",F156="",F156=0,G156=""),"",G156/F156)</x:f>
      </x:c>
      <x:c r="I156" s="553" t="str">
        <x:f>IF(OR(A156="",F156=""),"",F156*1000)</x:f>
      </x:c>
      <x:c r="J156" s="553" t="n"/>
      <x:c r="K156" s="553" t="str">
        <x:f>IF(A156="","",I156-J156)</x:f>
      </x:c>
      <x:c r="L156" s="524"/>
      <x:c r="M156" s="524"/>
      <x:c r="N156" s="524"/>
      <x:c r="O156" s="524"/>
    </x:row>
    <x:row r="157">
      <x:c r="A157" s="524"/>
      <x:c r="B157" s="538" t="n"/>
      <x:c r="C157" s="524"/>
      <x:c r="D157" s="524"/>
      <x:c r="E157" s="524"/>
      <x:c r="F157" s="552" t="n"/>
      <x:c r="G157" s="551" t="n"/>
      <x:c r="H157" s="551" t="str">
        <x:f>IF(OR(A157="",F157="",F157=0,G157=""),"",G157/F157)</x:f>
      </x:c>
      <x:c r="I157" s="553" t="str">
        <x:f>IF(OR(A157="",F157=""),"",F157*1000)</x:f>
      </x:c>
      <x:c r="J157" s="553" t="n"/>
      <x:c r="K157" s="553" t="str">
        <x:f>IF(A157="","",I157-J157)</x:f>
      </x:c>
      <x:c r="L157" s="524"/>
      <x:c r="M157" s="524"/>
      <x:c r="N157" s="524"/>
      <x:c r="O157" s="524"/>
    </x:row>
    <x:row r="158">
      <x:c r="A158" s="524"/>
      <x:c r="B158" s="538" t="n"/>
      <x:c r="C158" s="524"/>
      <x:c r="D158" s="524"/>
      <x:c r="E158" s="524"/>
      <x:c r="F158" s="552" t="n"/>
      <x:c r="G158" s="551" t="n"/>
      <x:c r="H158" s="551" t="str">
        <x:f>IF(OR(A158="",F158="",F158=0,G158=""),"",G158/F158)</x:f>
      </x:c>
      <x:c r="I158" s="553" t="str">
        <x:f>IF(OR(A158="",F158=""),"",F158*1000)</x:f>
      </x:c>
      <x:c r="J158" s="553" t="n"/>
      <x:c r="K158" s="553" t="str">
        <x:f>IF(A158="","",I158-J158)</x:f>
      </x:c>
      <x:c r="L158" s="524"/>
      <x:c r="M158" s="524"/>
      <x:c r="N158" s="524"/>
      <x:c r="O158" s="524"/>
    </x:row>
    <x:row r="159">
      <x:c r="A159" s="524"/>
      <x:c r="B159" s="538" t="n"/>
      <x:c r="C159" s="524"/>
      <x:c r="D159" s="524"/>
      <x:c r="E159" s="524"/>
      <x:c r="F159" s="552" t="n"/>
      <x:c r="G159" s="551" t="n"/>
      <x:c r="H159" s="551" t="str">
        <x:f>IF(OR(A159="",F159="",F159=0,G159=""),"",G159/F159)</x:f>
      </x:c>
      <x:c r="I159" s="553" t="str">
        <x:f>IF(OR(A159="",F159=""),"",F159*1000)</x:f>
      </x:c>
      <x:c r="J159" s="553" t="n"/>
      <x:c r="K159" s="553" t="str">
        <x:f>IF(A159="","",I159-J159)</x:f>
      </x:c>
      <x:c r="L159" s="524"/>
      <x:c r="M159" s="524"/>
      <x:c r="N159" s="524"/>
      <x:c r="O159" s="524"/>
    </x:row>
    <x:row r="160">
      <x:c r="A160" s="524"/>
      <x:c r="B160" s="538" t="n"/>
      <x:c r="C160" s="524"/>
      <x:c r="D160" s="524"/>
      <x:c r="E160" s="524"/>
      <x:c r="F160" s="552" t="n"/>
      <x:c r="G160" s="551" t="n"/>
      <x:c r="H160" s="551" t="str">
        <x:f>IF(OR(A160="",F160="",F160=0,G160=""),"",G160/F160)</x:f>
      </x:c>
      <x:c r="I160" s="553" t="str">
        <x:f>IF(OR(A160="",F160=""),"",F160*1000)</x:f>
      </x:c>
      <x:c r="J160" s="553" t="n"/>
      <x:c r="K160" s="553" t="str">
        <x:f>IF(A160="","",I160-J160)</x:f>
      </x:c>
      <x:c r="L160" s="524"/>
      <x:c r="M160" s="524"/>
      <x:c r="N160" s="524"/>
      <x:c r="O160" s="524"/>
    </x:row>
    <x:row r="161">
      <x:c r="A161" s="524"/>
      <x:c r="B161" s="538" t="n"/>
      <x:c r="C161" s="524"/>
      <x:c r="D161" s="524"/>
      <x:c r="E161" s="524"/>
      <x:c r="F161" s="552" t="n"/>
      <x:c r="G161" s="551" t="n"/>
      <x:c r="H161" s="551" t="str">
        <x:f>IF(OR(A161="",F161="",F161=0,G161=""),"",G161/F161)</x:f>
      </x:c>
      <x:c r="I161" s="553" t="str">
        <x:f>IF(OR(A161="",F161=""),"",F161*1000)</x:f>
      </x:c>
      <x:c r="J161" s="553" t="n"/>
      <x:c r="K161" s="553" t="str">
        <x:f>IF(A161="","",I161-J161)</x:f>
      </x:c>
      <x:c r="L161" s="524"/>
      <x:c r="M161" s="524"/>
      <x:c r="N161" s="524"/>
      <x:c r="O161" s="524"/>
    </x:row>
    <x:row r="162">
      <x:c r="A162" s="524"/>
      <x:c r="B162" s="538" t="n"/>
      <x:c r="C162" s="524"/>
      <x:c r="D162" s="524"/>
      <x:c r="E162" s="524"/>
      <x:c r="F162" s="552" t="n"/>
      <x:c r="G162" s="551" t="n"/>
      <x:c r="H162" s="551" t="str">
        <x:f>IF(OR(A162="",F162="",F162=0,G162=""),"",G162/F162)</x:f>
      </x:c>
      <x:c r="I162" s="553" t="str">
        <x:f>IF(OR(A162="",F162=""),"",F162*1000)</x:f>
      </x:c>
      <x:c r="J162" s="553" t="n"/>
      <x:c r="K162" s="553" t="str">
        <x:f>IF(A162="","",I162-J162)</x:f>
      </x:c>
      <x:c r="L162" s="524"/>
      <x:c r="M162" s="524"/>
      <x:c r="N162" s="524"/>
      <x:c r="O162" s="524"/>
    </x:row>
    <x:row r="163">
      <x:c r="A163" s="524"/>
      <x:c r="B163" s="538" t="n"/>
      <x:c r="C163" s="524"/>
      <x:c r="D163" s="524"/>
      <x:c r="E163" s="524"/>
      <x:c r="F163" s="552" t="n"/>
      <x:c r="G163" s="551" t="n"/>
      <x:c r="H163" s="551" t="str">
        <x:f>IF(OR(A163="",F163="",F163=0,G163=""),"",G163/F163)</x:f>
      </x:c>
      <x:c r="I163" s="553" t="str">
        <x:f>IF(OR(A163="",F163=""),"",F163*1000)</x:f>
      </x:c>
      <x:c r="J163" s="553" t="n"/>
      <x:c r="K163" s="553" t="str">
        <x:f>IF(A163="","",I163-J163)</x:f>
      </x:c>
      <x:c r="L163" s="524"/>
      <x:c r="M163" s="524"/>
      <x:c r="N163" s="524"/>
      <x:c r="O163" s="524"/>
    </x:row>
    <x:row r="164">
      <x:c r="A164" s="524"/>
      <x:c r="B164" s="538" t="n"/>
      <x:c r="C164" s="524"/>
      <x:c r="D164" s="524"/>
      <x:c r="E164" s="524"/>
      <x:c r="F164" s="552" t="n"/>
      <x:c r="G164" s="551" t="n"/>
      <x:c r="H164" s="551" t="str">
        <x:f>IF(OR(A164="",F164="",F164=0,G164=""),"",G164/F164)</x:f>
      </x:c>
      <x:c r="I164" s="553" t="str">
        <x:f>IF(OR(A164="",F164=""),"",F164*1000)</x:f>
      </x:c>
      <x:c r="J164" s="553" t="n"/>
      <x:c r="K164" s="553" t="str">
        <x:f>IF(A164="","",I164-J164)</x:f>
      </x:c>
      <x:c r="L164" s="524"/>
      <x:c r="M164" s="524"/>
      <x:c r="N164" s="524"/>
      <x:c r="O164" s="524"/>
    </x:row>
    <x:row r="165">
      <x:c r="A165" s="524"/>
      <x:c r="B165" s="538" t="n"/>
      <x:c r="C165" s="524"/>
      <x:c r="D165" s="524"/>
      <x:c r="E165" s="524"/>
      <x:c r="F165" s="552" t="n"/>
      <x:c r="G165" s="551" t="n"/>
      <x:c r="H165" s="551" t="str">
        <x:f>IF(OR(A165="",F165="",F165=0,G165=""),"",G165/F165)</x:f>
      </x:c>
      <x:c r="I165" s="553" t="str">
        <x:f>IF(OR(A165="",F165=""),"",F165*1000)</x:f>
      </x:c>
      <x:c r="J165" s="553" t="n"/>
      <x:c r="K165" s="553" t="str">
        <x:f>IF(A165="","",I165-J165)</x:f>
      </x:c>
      <x:c r="L165" s="524"/>
      <x:c r="M165" s="524"/>
      <x:c r="N165" s="524"/>
      <x:c r="O165" s="524"/>
    </x:row>
    <x:row r="166">
      <x:c r="A166" s="524"/>
      <x:c r="B166" s="538" t="n"/>
      <x:c r="C166" s="524"/>
      <x:c r="D166" s="524"/>
      <x:c r="E166" s="524"/>
      <x:c r="F166" s="552" t="n"/>
      <x:c r="G166" s="551" t="n"/>
      <x:c r="H166" s="551" t="str">
        <x:f>IF(OR(A166="",F166="",F166=0,G166=""),"",G166/F166)</x:f>
      </x:c>
      <x:c r="I166" s="553" t="str">
        <x:f>IF(OR(A166="",F166=""),"",F166*1000)</x:f>
      </x:c>
      <x:c r="J166" s="553" t="n"/>
      <x:c r="K166" s="553" t="str">
        <x:f>IF(A166="","",I166-J166)</x:f>
      </x:c>
      <x:c r="L166" s="524"/>
      <x:c r="M166" s="524"/>
      <x:c r="N166" s="524"/>
      <x:c r="O166" s="524"/>
    </x:row>
    <x:row r="167">
      <x:c r="A167" s="524"/>
      <x:c r="B167" s="538" t="n"/>
      <x:c r="C167" s="524"/>
      <x:c r="D167" s="524"/>
      <x:c r="E167" s="524"/>
      <x:c r="F167" s="552" t="n"/>
      <x:c r="G167" s="551" t="n"/>
      <x:c r="H167" s="551" t="str">
        <x:f>IF(OR(A167="",F167="",F167=0,G167=""),"",G167/F167)</x:f>
      </x:c>
      <x:c r="I167" s="553" t="str">
        <x:f>IF(OR(A167="",F167=""),"",F167*1000)</x:f>
      </x:c>
      <x:c r="J167" s="553" t="n"/>
      <x:c r="K167" s="553" t="str">
        <x:f>IF(A167="","",I167-J167)</x:f>
      </x:c>
      <x:c r="L167" s="524"/>
      <x:c r="M167" s="524"/>
      <x:c r="N167" s="524"/>
      <x:c r="O167" s="524"/>
    </x:row>
    <x:row r="168">
      <x:c r="A168" s="524"/>
      <x:c r="B168" s="538" t="n"/>
      <x:c r="C168" s="524"/>
      <x:c r="D168" s="524"/>
      <x:c r="E168" s="524"/>
      <x:c r="F168" s="552" t="n"/>
      <x:c r="G168" s="551" t="n"/>
      <x:c r="H168" s="551" t="str">
        <x:f>IF(OR(A168="",F168="",F168=0,G168=""),"",G168/F168)</x:f>
      </x:c>
      <x:c r="I168" s="553" t="str">
        <x:f>IF(OR(A168="",F168=""),"",F168*1000)</x:f>
      </x:c>
      <x:c r="J168" s="553" t="n"/>
      <x:c r="K168" s="553" t="str">
        <x:f>IF(A168="","",I168-J168)</x:f>
      </x:c>
      <x:c r="L168" s="524"/>
      <x:c r="M168" s="524"/>
      <x:c r="N168" s="524"/>
      <x:c r="O168" s="524"/>
    </x:row>
    <x:row r="169">
      <x:c r="A169" s="524"/>
      <x:c r="B169" s="538" t="n"/>
      <x:c r="C169" s="524"/>
      <x:c r="D169" s="524"/>
      <x:c r="E169" s="524"/>
      <x:c r="F169" s="552" t="n"/>
      <x:c r="G169" s="551" t="n"/>
      <x:c r="H169" s="551" t="str">
        <x:f>IF(OR(A169="",F169="",F169=0,G169=""),"",G169/F169)</x:f>
      </x:c>
      <x:c r="I169" s="553" t="str">
        <x:f>IF(OR(A169="",F169=""),"",F169*1000)</x:f>
      </x:c>
      <x:c r="J169" s="553" t="n"/>
      <x:c r="K169" s="553" t="str">
        <x:f>IF(A169="","",I169-J169)</x:f>
      </x:c>
      <x:c r="L169" s="524"/>
      <x:c r="M169" s="524"/>
      <x:c r="N169" s="524"/>
      <x:c r="O169" s="524"/>
    </x:row>
    <x:row r="170">
      <x:c r="A170" s="524"/>
      <x:c r="B170" s="538" t="n"/>
      <x:c r="C170" s="524"/>
      <x:c r="D170" s="524"/>
      <x:c r="E170" s="524"/>
      <x:c r="F170" s="552" t="n"/>
      <x:c r="G170" s="551" t="n"/>
      <x:c r="H170" s="551" t="str">
        <x:f>IF(OR(A170="",F170="",F170=0,G170=""),"",G170/F170)</x:f>
      </x:c>
      <x:c r="I170" s="553" t="str">
        <x:f>IF(OR(A170="",F170=""),"",F170*1000)</x:f>
      </x:c>
      <x:c r="J170" s="553" t="n"/>
      <x:c r="K170" s="553" t="str">
        <x:f>IF(A170="","",I170-J170)</x:f>
      </x:c>
      <x:c r="L170" s="524"/>
      <x:c r="M170" s="524"/>
      <x:c r="N170" s="524"/>
      <x:c r="O170" s="524"/>
    </x:row>
    <x:row r="171">
      <x:c r="A171" s="524"/>
      <x:c r="B171" s="538" t="n"/>
      <x:c r="C171" s="524"/>
      <x:c r="D171" s="524"/>
      <x:c r="E171" s="524"/>
      <x:c r="F171" s="552" t="n"/>
      <x:c r="G171" s="551" t="n"/>
      <x:c r="H171" s="551" t="str">
        <x:f>IF(OR(A171="",F171="",F171=0,G171=""),"",G171/F171)</x:f>
      </x:c>
      <x:c r="I171" s="553" t="str">
        <x:f>IF(OR(A171="",F171=""),"",F171*1000)</x:f>
      </x:c>
      <x:c r="J171" s="553" t="n"/>
      <x:c r="K171" s="553" t="str">
        <x:f>IF(A171="","",I171-J171)</x:f>
      </x:c>
      <x:c r="L171" s="524"/>
      <x:c r="M171" s="524"/>
      <x:c r="N171" s="524"/>
      <x:c r="O171" s="524"/>
    </x:row>
    <x:row r="172">
      <x:c r="A172" s="524"/>
      <x:c r="B172" s="538" t="n"/>
      <x:c r="C172" s="524"/>
      <x:c r="D172" s="524"/>
      <x:c r="E172" s="524"/>
      <x:c r="F172" s="552" t="n"/>
      <x:c r="G172" s="551" t="n"/>
      <x:c r="H172" s="551" t="str">
        <x:f>IF(OR(A172="",F172="",F172=0,G172=""),"",G172/F172)</x:f>
      </x:c>
      <x:c r="I172" s="553" t="str">
        <x:f>IF(OR(A172="",F172=""),"",F172*1000)</x:f>
      </x:c>
      <x:c r="J172" s="553" t="n"/>
      <x:c r="K172" s="553" t="str">
        <x:f>IF(A172="","",I172-J172)</x:f>
      </x:c>
      <x:c r="L172" s="524"/>
      <x:c r="M172" s="524"/>
      <x:c r="N172" s="524"/>
      <x:c r="O172" s="524"/>
    </x:row>
    <x:row r="173">
      <x:c r="A173" s="524"/>
      <x:c r="B173" s="538" t="n"/>
      <x:c r="C173" s="524"/>
      <x:c r="D173" s="524"/>
      <x:c r="E173" s="524"/>
      <x:c r="F173" s="552" t="n"/>
      <x:c r="G173" s="551" t="n"/>
      <x:c r="H173" s="551" t="str">
        <x:f>IF(OR(A173="",F173="",F173=0,G173=""),"",G173/F173)</x:f>
      </x:c>
      <x:c r="I173" s="553" t="str">
        <x:f>IF(OR(A173="",F173=""),"",F173*1000)</x:f>
      </x:c>
      <x:c r="J173" s="553" t="n"/>
      <x:c r="K173" s="553" t="str">
        <x:f>IF(A173="","",I173-J173)</x:f>
      </x:c>
      <x:c r="L173" s="524"/>
      <x:c r="M173" s="524"/>
      <x:c r="N173" s="524"/>
      <x:c r="O173" s="524"/>
    </x:row>
    <x:row r="174">
      <x:c r="A174" s="524"/>
      <x:c r="B174" s="538" t="n"/>
      <x:c r="C174" s="524"/>
      <x:c r="D174" s="524"/>
      <x:c r="E174" s="524"/>
      <x:c r="F174" s="552" t="n"/>
      <x:c r="G174" s="551" t="n"/>
      <x:c r="H174" s="551" t="str">
        <x:f>IF(OR(A174="",F174="",F174=0,G174=""),"",G174/F174)</x:f>
      </x:c>
      <x:c r="I174" s="553" t="str">
        <x:f>IF(OR(A174="",F174=""),"",F174*1000)</x:f>
      </x:c>
      <x:c r="J174" s="553" t="n"/>
      <x:c r="K174" s="553" t="str">
        <x:f>IF(A174="","",I174-J174)</x:f>
      </x:c>
      <x:c r="L174" s="524"/>
      <x:c r="M174" s="524"/>
      <x:c r="N174" s="524"/>
      <x:c r="O174" s="524"/>
    </x:row>
    <x:row r="175">
      <x:c r="A175" s="524"/>
      <x:c r="B175" s="538" t="n"/>
      <x:c r="C175" s="524"/>
      <x:c r="D175" s="524"/>
      <x:c r="E175" s="524"/>
      <x:c r="F175" s="552" t="n"/>
      <x:c r="G175" s="551" t="n"/>
      <x:c r="H175" s="551" t="str">
        <x:f>IF(OR(A175="",F175="",F175=0,G175=""),"",G175/F175)</x:f>
      </x:c>
      <x:c r="I175" s="553" t="str">
        <x:f>IF(OR(A175="",F175=""),"",F175*1000)</x:f>
      </x:c>
      <x:c r="J175" s="553" t="n"/>
      <x:c r="K175" s="553" t="str">
        <x:f>IF(A175="","",I175-J175)</x:f>
      </x:c>
      <x:c r="L175" s="524"/>
      <x:c r="M175" s="524"/>
      <x:c r="N175" s="524"/>
      <x:c r="O175" s="524"/>
    </x:row>
    <x:row r="176">
      <x:c r="A176" s="524"/>
      <x:c r="B176" s="538" t="n"/>
      <x:c r="C176" s="524"/>
      <x:c r="D176" s="524"/>
      <x:c r="E176" s="524"/>
      <x:c r="F176" s="552" t="n"/>
      <x:c r="G176" s="551" t="n"/>
      <x:c r="H176" s="551" t="str">
        <x:f>IF(OR(A176="",F176="",F176=0,G176=""),"",G176/F176)</x:f>
      </x:c>
      <x:c r="I176" s="553" t="str">
        <x:f>IF(OR(A176="",F176=""),"",F176*1000)</x:f>
      </x:c>
      <x:c r="J176" s="553" t="n"/>
      <x:c r="K176" s="553" t="str">
        <x:f>IF(A176="","",I176-J176)</x:f>
      </x:c>
      <x:c r="L176" s="524"/>
      <x:c r="M176" s="524"/>
      <x:c r="N176" s="524"/>
      <x:c r="O176" s="524"/>
    </x:row>
    <x:row r="177">
      <x:c r="A177" s="524"/>
      <x:c r="B177" s="538" t="n"/>
      <x:c r="C177" s="524"/>
      <x:c r="D177" s="524"/>
      <x:c r="E177" s="524"/>
      <x:c r="F177" s="552" t="n"/>
      <x:c r="G177" s="551" t="n"/>
      <x:c r="H177" s="551" t="str">
        <x:f>IF(OR(A177="",F177="",F177=0,G177=""),"",G177/F177)</x:f>
      </x:c>
      <x:c r="I177" s="553" t="str">
        <x:f>IF(OR(A177="",F177=""),"",F177*1000)</x:f>
      </x:c>
      <x:c r="J177" s="553" t="n"/>
      <x:c r="K177" s="553" t="str">
        <x:f>IF(A177="","",I177-J177)</x:f>
      </x:c>
      <x:c r="L177" s="524"/>
      <x:c r="M177" s="524"/>
      <x:c r="N177" s="524"/>
      <x:c r="O177" s="524"/>
    </x:row>
    <x:row r="178">
      <x:c r="A178" s="524"/>
      <x:c r="B178" s="538" t="n"/>
      <x:c r="C178" s="524"/>
      <x:c r="D178" s="524"/>
      <x:c r="E178" s="524"/>
      <x:c r="F178" s="552" t="n"/>
      <x:c r="G178" s="551" t="n"/>
      <x:c r="H178" s="551" t="str">
        <x:f>IF(OR(A178="",F178="",F178=0,G178=""),"",G178/F178)</x:f>
      </x:c>
      <x:c r="I178" s="553" t="str">
        <x:f>IF(OR(A178="",F178=""),"",F178*1000)</x:f>
      </x:c>
      <x:c r="J178" s="553" t="n"/>
      <x:c r="K178" s="553" t="str">
        <x:f>IF(A178="","",I178-J178)</x:f>
      </x:c>
      <x:c r="L178" s="524"/>
      <x:c r="M178" s="524"/>
      <x:c r="N178" s="524"/>
      <x:c r="O178" s="524"/>
    </x:row>
    <x:row r="179">
      <x:c r="A179" s="524"/>
      <x:c r="B179" s="538" t="n"/>
      <x:c r="C179" s="524"/>
      <x:c r="D179" s="524"/>
      <x:c r="E179" s="524"/>
      <x:c r="F179" s="552" t="n"/>
      <x:c r="G179" s="551" t="n"/>
      <x:c r="H179" s="551" t="str">
        <x:f>IF(OR(A179="",F179="",F179=0,G179=""),"",G179/F179)</x:f>
      </x:c>
      <x:c r="I179" s="553" t="str">
        <x:f>IF(OR(A179="",F179=""),"",F179*1000)</x:f>
      </x:c>
      <x:c r="J179" s="553" t="n"/>
      <x:c r="K179" s="553" t="str">
        <x:f>IF(A179="","",I179-J179)</x:f>
      </x:c>
      <x:c r="L179" s="524"/>
      <x:c r="M179" s="524"/>
      <x:c r="N179" s="524"/>
      <x:c r="O179" s="524"/>
    </x:row>
    <x:row r="180">
      <x:c r="A180" s="524"/>
      <x:c r="B180" s="538" t="n"/>
      <x:c r="C180" s="524"/>
      <x:c r="D180" s="524"/>
      <x:c r="E180" s="524"/>
      <x:c r="F180" s="552" t="n"/>
      <x:c r="G180" s="551" t="n"/>
      <x:c r="H180" s="551" t="str">
        <x:f>IF(OR(A180="",F180="",F180=0,G180=""),"",G180/F180)</x:f>
      </x:c>
      <x:c r="I180" s="553" t="str">
        <x:f>IF(OR(A180="",F180=""),"",F180*1000)</x:f>
      </x:c>
      <x:c r="J180" s="553" t="n"/>
      <x:c r="K180" s="553" t="str">
        <x:f>IF(A180="","",I180-J180)</x:f>
      </x:c>
      <x:c r="L180" s="524"/>
      <x:c r="M180" s="524"/>
      <x:c r="N180" s="524"/>
      <x:c r="O180" s="524"/>
    </x:row>
    <x:row r="181">
      <x:c r="A181" s="524"/>
      <x:c r="B181" s="538" t="n"/>
      <x:c r="C181" s="524"/>
      <x:c r="D181" s="524"/>
      <x:c r="E181" s="524"/>
      <x:c r="F181" s="552" t="n"/>
      <x:c r="G181" s="551" t="n"/>
      <x:c r="H181" s="551" t="str">
        <x:f>IF(OR(A181="",F181="",F181=0,G181=""),"",G181/F181)</x:f>
      </x:c>
      <x:c r="I181" s="553" t="str">
        <x:f>IF(OR(A181="",F181=""),"",F181*1000)</x:f>
      </x:c>
      <x:c r="J181" s="553" t="n"/>
      <x:c r="K181" s="553" t="str">
        <x:f>IF(A181="","",I181-J181)</x:f>
      </x:c>
      <x:c r="L181" s="524"/>
      <x:c r="M181" s="524"/>
      <x:c r="N181" s="524"/>
      <x:c r="O181" s="524"/>
    </x:row>
    <x:row r="182">
      <x:c r="A182" s="524"/>
      <x:c r="B182" s="538" t="n"/>
      <x:c r="C182" s="524"/>
      <x:c r="D182" s="524"/>
      <x:c r="E182" s="524"/>
      <x:c r="F182" s="552" t="n"/>
      <x:c r="G182" s="551" t="n"/>
      <x:c r="H182" s="551" t="str">
        <x:f>IF(OR(A182="",F182="",F182=0,G182=""),"",G182/F182)</x:f>
      </x:c>
      <x:c r="I182" s="553" t="str">
        <x:f>IF(OR(A182="",F182=""),"",F182*1000)</x:f>
      </x:c>
      <x:c r="J182" s="553" t="n"/>
      <x:c r="K182" s="553" t="str">
        <x:f>IF(A182="","",I182-J182)</x:f>
      </x:c>
      <x:c r="L182" s="524"/>
      <x:c r="M182" s="524"/>
      <x:c r="N182" s="524"/>
      <x:c r="O182" s="524"/>
    </x:row>
    <x:row r="183">
      <x:c r="A183" s="524"/>
      <x:c r="B183" s="538" t="n"/>
      <x:c r="C183" s="524"/>
      <x:c r="D183" s="524"/>
      <x:c r="E183" s="524"/>
      <x:c r="F183" s="552" t="n"/>
      <x:c r="G183" s="551" t="n"/>
      <x:c r="H183" s="551" t="str">
        <x:f>IF(OR(A183="",F183="",F183=0,G183=""),"",G183/F183)</x:f>
      </x:c>
      <x:c r="I183" s="553" t="str">
        <x:f>IF(OR(A183="",F183=""),"",F183*1000)</x:f>
      </x:c>
      <x:c r="J183" s="553" t="n"/>
      <x:c r="K183" s="553" t="str">
        <x:f>IF(A183="","",I183-J183)</x:f>
      </x:c>
      <x:c r="L183" s="524"/>
      <x:c r="M183" s="524"/>
      <x:c r="N183" s="524"/>
      <x:c r="O183" s="524"/>
    </x:row>
    <x:row r="184">
      <x:c r="A184" s="524"/>
      <x:c r="B184" s="538" t="n"/>
      <x:c r="C184" s="524"/>
      <x:c r="D184" s="524"/>
      <x:c r="E184" s="524"/>
      <x:c r="F184" s="552" t="n"/>
      <x:c r="G184" s="551" t="n"/>
      <x:c r="H184" s="551" t="str">
        <x:f>IF(OR(A184="",F184="",F184=0,G184=""),"",G184/F184)</x:f>
      </x:c>
      <x:c r="I184" s="553" t="str">
        <x:f>IF(OR(A184="",F184=""),"",F184*1000)</x:f>
      </x:c>
      <x:c r="J184" s="553" t="n"/>
      <x:c r="K184" s="553" t="str">
        <x:f>IF(A184="","",I184-J184)</x:f>
      </x:c>
      <x:c r="L184" s="524"/>
      <x:c r="M184" s="524"/>
      <x:c r="N184" s="524"/>
      <x:c r="O184" s="524"/>
    </x:row>
    <x:row r="185">
      <x:c r="A185" s="524"/>
      <x:c r="B185" s="538" t="n"/>
      <x:c r="C185" s="524"/>
      <x:c r="D185" s="524"/>
      <x:c r="E185" s="524"/>
      <x:c r="F185" s="552" t="n"/>
      <x:c r="G185" s="551" t="n"/>
      <x:c r="H185" s="551" t="str">
        <x:f>IF(OR(A185="",F185="",F185=0,G185=""),"",G185/F185)</x:f>
      </x:c>
      <x:c r="I185" s="553" t="str">
        <x:f>IF(OR(A185="",F185=""),"",F185*1000)</x:f>
      </x:c>
      <x:c r="J185" s="553" t="n"/>
      <x:c r="K185" s="553" t="str">
        <x:f>IF(A185="","",I185-J185)</x:f>
      </x:c>
      <x:c r="L185" s="524"/>
      <x:c r="M185" s="524"/>
      <x:c r="N185" s="524"/>
      <x:c r="O185" s="524"/>
    </x:row>
    <x:row r="186">
      <x:c r="A186" s="524"/>
      <x:c r="B186" s="538" t="n"/>
      <x:c r="C186" s="524"/>
      <x:c r="D186" s="524"/>
      <x:c r="E186" s="524"/>
      <x:c r="F186" s="552" t="n"/>
      <x:c r="G186" s="551" t="n"/>
      <x:c r="H186" s="551" t="str">
        <x:f>IF(OR(A186="",F186="",F186=0,G186=""),"",G186/F186)</x:f>
      </x:c>
      <x:c r="I186" s="553" t="str">
        <x:f>IF(OR(A186="",F186=""),"",F186*1000)</x:f>
      </x:c>
      <x:c r="J186" s="553" t="n"/>
      <x:c r="K186" s="553" t="str">
        <x:f>IF(A186="","",I186-J186)</x:f>
      </x:c>
      <x:c r="L186" s="524"/>
      <x:c r="M186" s="524"/>
      <x:c r="N186" s="524"/>
      <x:c r="O186" s="524"/>
    </x:row>
    <x:row r="187">
      <x:c r="A187" s="524"/>
      <x:c r="B187" s="538" t="n"/>
      <x:c r="C187" s="524"/>
      <x:c r="D187" s="524"/>
      <x:c r="E187" s="524"/>
      <x:c r="F187" s="552" t="n"/>
      <x:c r="G187" s="551" t="n"/>
      <x:c r="H187" s="551" t="str">
        <x:f>IF(OR(A187="",F187="",F187=0,G187=""),"",G187/F187)</x:f>
      </x:c>
      <x:c r="I187" s="553" t="str">
        <x:f>IF(OR(A187="",F187=""),"",F187*1000)</x:f>
      </x:c>
      <x:c r="J187" s="553" t="n"/>
      <x:c r="K187" s="553" t="str">
        <x:f>IF(A187="","",I187-J187)</x:f>
      </x:c>
      <x:c r="L187" s="524"/>
      <x:c r="M187" s="524"/>
      <x:c r="N187" s="524"/>
      <x:c r="O187" s="524"/>
    </x:row>
    <x:row r="188">
      <x:c r="A188" s="524"/>
      <x:c r="B188" s="538" t="n"/>
      <x:c r="C188" s="524"/>
      <x:c r="D188" s="524"/>
      <x:c r="E188" s="524"/>
      <x:c r="F188" s="552" t="n"/>
      <x:c r="G188" s="551" t="n"/>
      <x:c r="H188" s="551" t="str">
        <x:f>IF(OR(A188="",F188="",F188=0,G188=""),"",G188/F188)</x:f>
      </x:c>
      <x:c r="I188" s="553" t="str">
        <x:f>IF(OR(A188="",F188=""),"",F188*1000)</x:f>
      </x:c>
      <x:c r="J188" s="553" t="n"/>
      <x:c r="K188" s="553" t="str">
        <x:f>IF(A188="","",I188-J188)</x:f>
      </x:c>
      <x:c r="L188" s="524"/>
      <x:c r="M188" s="524"/>
      <x:c r="N188" s="524"/>
      <x:c r="O188" s="524"/>
    </x:row>
    <x:row r="189">
      <x:c r="A189" s="524"/>
      <x:c r="B189" s="538" t="n"/>
      <x:c r="C189" s="524"/>
      <x:c r="D189" s="524"/>
      <x:c r="E189" s="524"/>
      <x:c r="F189" s="552" t="n"/>
      <x:c r="G189" s="551" t="n"/>
      <x:c r="H189" s="551" t="str">
        <x:f>IF(OR(A189="",F189="",F189=0,G189=""),"",G189/F189)</x:f>
      </x:c>
      <x:c r="I189" s="553" t="str">
        <x:f>IF(OR(A189="",F189=""),"",F189*1000)</x:f>
      </x:c>
      <x:c r="J189" s="553" t="n"/>
      <x:c r="K189" s="553" t="str">
        <x:f>IF(A189="","",I189-J189)</x:f>
      </x:c>
      <x:c r="L189" s="524"/>
      <x:c r="M189" s="524"/>
      <x:c r="N189" s="524"/>
      <x:c r="O189" s="524"/>
    </x:row>
    <x:row r="190">
      <x:c r="A190" s="524"/>
      <x:c r="B190" s="538" t="n"/>
      <x:c r="C190" s="524"/>
      <x:c r="D190" s="524"/>
      <x:c r="E190" s="524"/>
      <x:c r="F190" s="552" t="n"/>
      <x:c r="G190" s="551" t="n"/>
      <x:c r="H190" s="551" t="str">
        <x:f>IF(OR(A190="",F190="",F190=0,G190=""),"",G190/F190)</x:f>
      </x:c>
      <x:c r="I190" s="553" t="str">
        <x:f>IF(OR(A190="",F190=""),"",F190*1000)</x:f>
      </x:c>
      <x:c r="J190" s="553" t="n"/>
      <x:c r="K190" s="553" t="str">
        <x:f>IF(A190="","",I190-J190)</x:f>
      </x:c>
      <x:c r="L190" s="524"/>
      <x:c r="M190" s="524"/>
      <x:c r="N190" s="524"/>
      <x:c r="O190" s="524"/>
    </x:row>
    <x:row r="191">
      <x:c r="A191" s="524"/>
      <x:c r="B191" s="538" t="n"/>
      <x:c r="C191" s="524"/>
      <x:c r="D191" s="524"/>
      <x:c r="E191" s="524"/>
      <x:c r="F191" s="552" t="n"/>
      <x:c r="G191" s="551" t="n"/>
      <x:c r="H191" s="551" t="str">
        <x:f>IF(OR(A191="",F191="",F191=0,G191=""),"",G191/F191)</x:f>
      </x:c>
      <x:c r="I191" s="553" t="str">
        <x:f>IF(OR(A191="",F191=""),"",F191*1000)</x:f>
      </x:c>
      <x:c r="J191" s="553" t="n"/>
      <x:c r="K191" s="553" t="str">
        <x:f>IF(A191="","",I191-J191)</x:f>
      </x:c>
      <x:c r="L191" s="524"/>
      <x:c r="M191" s="524"/>
      <x:c r="N191" s="524"/>
      <x:c r="O191" s="524"/>
    </x:row>
    <x:row r="192">
      <x:c r="A192" s="524"/>
      <x:c r="B192" s="538" t="n"/>
      <x:c r="C192" s="524"/>
      <x:c r="D192" s="524"/>
      <x:c r="E192" s="524"/>
      <x:c r="F192" s="552" t="n"/>
      <x:c r="G192" s="551" t="n"/>
      <x:c r="H192" s="551" t="str">
        <x:f>IF(OR(A192="",F192="",F192=0,G192=""),"",G192/F192)</x:f>
      </x:c>
      <x:c r="I192" s="553" t="str">
        <x:f>IF(OR(A192="",F192=""),"",F192*1000)</x:f>
      </x:c>
      <x:c r="J192" s="553" t="n"/>
      <x:c r="K192" s="553" t="str">
        <x:f>IF(A192="","",I192-J192)</x:f>
      </x:c>
      <x:c r="L192" s="524"/>
      <x:c r="M192" s="524"/>
      <x:c r="N192" s="524"/>
      <x:c r="O192" s="524"/>
    </x:row>
    <x:row r="193">
      <x:c r="A193" s="524"/>
      <x:c r="B193" s="538" t="n"/>
      <x:c r="C193" s="524"/>
      <x:c r="D193" s="524"/>
      <x:c r="E193" s="524"/>
      <x:c r="F193" s="552" t="n"/>
      <x:c r="G193" s="551" t="n"/>
      <x:c r="H193" s="551" t="str">
        <x:f>IF(OR(A193="",F193="",F193=0,G193=""),"",G193/F193)</x:f>
      </x:c>
      <x:c r="I193" s="553" t="str">
        <x:f>IF(OR(A193="",F193=""),"",F193*1000)</x:f>
      </x:c>
      <x:c r="J193" s="553" t="n"/>
      <x:c r="K193" s="553" t="str">
        <x:f>IF(A193="","",I193-J193)</x:f>
      </x:c>
      <x:c r="L193" s="524"/>
      <x:c r="M193" s="524"/>
      <x:c r="N193" s="524"/>
      <x:c r="O193" s="524"/>
    </x:row>
    <x:row r="194">
      <x:c r="A194" s="524"/>
      <x:c r="B194" s="538" t="n"/>
      <x:c r="C194" s="524"/>
      <x:c r="D194" s="524"/>
      <x:c r="E194" s="524"/>
      <x:c r="F194" s="552" t="n"/>
      <x:c r="G194" s="551" t="n"/>
      <x:c r="H194" s="551" t="str">
        <x:f>IF(OR(A194="",F194="",F194=0,G194=""),"",G194/F194)</x:f>
      </x:c>
      <x:c r="I194" s="553" t="str">
        <x:f>IF(OR(A194="",F194=""),"",F194*1000)</x:f>
      </x:c>
      <x:c r="J194" s="553" t="n"/>
      <x:c r="K194" s="553" t="str">
        <x:f>IF(A194="","",I194-J194)</x:f>
      </x:c>
      <x:c r="L194" s="524"/>
      <x:c r="M194" s="524"/>
      <x:c r="N194" s="524"/>
      <x:c r="O194" s="524"/>
    </x:row>
    <x:row r="195">
      <x:c r="A195" s="524"/>
      <x:c r="B195" s="538" t="n"/>
      <x:c r="C195" s="524"/>
      <x:c r="D195" s="524"/>
      <x:c r="E195" s="524"/>
      <x:c r="F195" s="552" t="n"/>
      <x:c r="G195" s="551" t="n"/>
      <x:c r="H195" s="551" t="str">
        <x:f>IF(OR(A195="",F195="",F195=0,G195=""),"",G195/F195)</x:f>
      </x:c>
      <x:c r="I195" s="553" t="str">
        <x:f>IF(OR(A195="",F195=""),"",F195*1000)</x:f>
      </x:c>
      <x:c r="J195" s="553" t="n"/>
      <x:c r="K195" s="553" t="str">
        <x:f>IF(A195="","",I195-J195)</x:f>
      </x:c>
      <x:c r="L195" s="524"/>
      <x:c r="M195" s="524"/>
      <x:c r="N195" s="524"/>
      <x:c r="O195" s="524"/>
    </x:row>
    <x:row r="196">
      <x:c r="A196" s="524"/>
      <x:c r="B196" s="538" t="n"/>
      <x:c r="C196" s="524"/>
      <x:c r="D196" s="524"/>
      <x:c r="E196" s="524"/>
      <x:c r="F196" s="552" t="n"/>
      <x:c r="G196" s="551" t="n"/>
      <x:c r="H196" s="551" t="str">
        <x:f>IF(OR(A196="",F196="",F196=0,G196=""),"",G196/F196)</x:f>
      </x:c>
      <x:c r="I196" s="553" t="str">
        <x:f>IF(OR(A196="",F196=""),"",F196*1000)</x:f>
      </x:c>
      <x:c r="J196" s="553" t="n"/>
      <x:c r="K196" s="553" t="str">
        <x:f>IF(A196="","",I196-J196)</x:f>
      </x:c>
      <x:c r="L196" s="524"/>
      <x:c r="M196" s="524"/>
      <x:c r="N196" s="524"/>
      <x:c r="O196" s="524"/>
    </x:row>
    <x:row r="197">
      <x:c r="A197" s="524"/>
      <x:c r="B197" s="538" t="n"/>
      <x:c r="C197" s="524"/>
      <x:c r="D197" s="524"/>
      <x:c r="E197" s="524"/>
      <x:c r="F197" s="552" t="n"/>
      <x:c r="G197" s="551" t="n"/>
      <x:c r="H197" s="551" t="str">
        <x:f>IF(OR(A197="",F197="",F197=0,G197=""),"",G197/F197)</x:f>
      </x:c>
      <x:c r="I197" s="553" t="str">
        <x:f>IF(OR(A197="",F197=""),"",F197*1000)</x:f>
      </x:c>
      <x:c r="J197" s="553" t="n"/>
      <x:c r="K197" s="553" t="str">
        <x:f>IF(A197="","",I197-J197)</x:f>
      </x:c>
      <x:c r="L197" s="524"/>
      <x:c r="M197" s="524"/>
      <x:c r="N197" s="524"/>
      <x:c r="O197" s="524"/>
    </x:row>
    <x:row r="198">
      <x:c r="A198" s="524"/>
      <x:c r="B198" s="538" t="n"/>
      <x:c r="C198" s="524"/>
      <x:c r="D198" s="524"/>
      <x:c r="E198" s="524"/>
      <x:c r="F198" s="552" t="n"/>
      <x:c r="G198" s="551" t="n"/>
      <x:c r="H198" s="551" t="str">
        <x:f>IF(OR(A198="",F198="",F198=0,G198=""),"",G198/F198)</x:f>
      </x:c>
      <x:c r="I198" s="553" t="str">
        <x:f>IF(OR(A198="",F198=""),"",F198*1000)</x:f>
      </x:c>
      <x:c r="J198" s="553" t="n"/>
      <x:c r="K198" s="553" t="str">
        <x:f>IF(A198="","",I198-J198)</x:f>
      </x:c>
      <x:c r="L198" s="524"/>
      <x:c r="M198" s="524"/>
      <x:c r="N198" s="524"/>
      <x:c r="O198" s="524"/>
    </x:row>
    <x:row r="199">
      <x:c r="A199" s="524"/>
      <x:c r="B199" s="538" t="n"/>
      <x:c r="C199" s="524"/>
      <x:c r="D199" s="524"/>
      <x:c r="E199" s="524"/>
      <x:c r="F199" s="552" t="n"/>
      <x:c r="G199" s="551" t="n"/>
      <x:c r="H199" s="551" t="str">
        <x:f>IF(OR(A199="",F199="",F199=0,G199=""),"",G199/F199)</x:f>
      </x:c>
      <x:c r="I199" s="553" t="str">
        <x:f>IF(OR(A199="",F199=""),"",F199*1000)</x:f>
      </x:c>
      <x:c r="J199" s="553" t="n"/>
      <x:c r="K199" s="553" t="str">
        <x:f>IF(A199="","",I199-J199)</x:f>
      </x:c>
      <x:c r="L199" s="524"/>
      <x:c r="M199" s="524"/>
      <x:c r="N199" s="524"/>
      <x:c r="O199" s="524"/>
    </x:row>
    <x:row r="200">
      <x:c r="A200" s="524"/>
      <x:c r="B200" s="538" t="n"/>
      <x:c r="C200" s="524"/>
      <x:c r="D200" s="524"/>
      <x:c r="E200" s="524"/>
      <x:c r="F200" s="552" t="n"/>
      <x:c r="G200" s="551" t="n"/>
      <x:c r="H200" s="551" t="str">
        <x:f>IF(OR(A200="",F200="",F200=0,G200=""),"",G200/F200)</x:f>
      </x:c>
      <x:c r="I200" s="553" t="str">
        <x:f>IF(OR(A200="",F200=""),"",F200*1000)</x:f>
      </x:c>
      <x:c r="J200" s="553" t="n"/>
      <x:c r="K200" s="553" t="str">
        <x:f>IF(A200="","",I200-J200)</x:f>
      </x:c>
      <x:c r="L200" s="524"/>
      <x:c r="M200" s="524"/>
      <x:c r="N200" s="524"/>
      <x:c r="O200" s="524"/>
    </x:row>
    <x:row r="201">
      <x:c r="A201" s="524"/>
      <x:c r="B201" s="538" t="n"/>
      <x:c r="C201" s="524"/>
      <x:c r="D201" s="524"/>
      <x:c r="E201" s="524"/>
      <x:c r="F201" s="552" t="n"/>
      <x:c r="G201" s="551" t="n"/>
      <x:c r="H201" s="551" t="str">
        <x:f>IF(OR(A201="",F201="",F201=0,G201=""),"",G201/F201)</x:f>
      </x:c>
      <x:c r="I201" s="553" t="str">
        <x:f>IF(OR(A201="",F201=""),"",F201*1000)</x:f>
      </x:c>
      <x:c r="J201" s="553" t="n"/>
      <x:c r="K201" s="553" t="str">
        <x:f>IF(A201="","",I201-J201)</x:f>
      </x:c>
      <x:c r="L201" s="524"/>
      <x:c r="M201" s="524"/>
      <x:c r="N201" s="524"/>
      <x:c r="O201" s="524"/>
    </x:row>
    <x:row r="202">
      <x:c r="A202" s="524"/>
      <x:c r="B202" s="538" t="n"/>
      <x:c r="C202" s="524"/>
      <x:c r="D202" s="524"/>
      <x:c r="E202" s="524"/>
      <x:c r="F202" s="552" t="n"/>
      <x:c r="G202" s="551" t="n"/>
      <x:c r="H202" s="551" t="str">
        <x:f>IF(OR(A202="",F202="",F202=0,G202=""),"",G202/F202)</x:f>
      </x:c>
      <x:c r="I202" s="553" t="str">
        <x:f>IF(OR(A202="",F202=""),"",F202*1000)</x:f>
      </x:c>
      <x:c r="J202" s="553" t="n"/>
      <x:c r="K202" s="553" t="str">
        <x:f>IF(A202="","",I202-J202)</x:f>
      </x:c>
      <x:c r="L202" s="524"/>
      <x:c r="M202" s="524"/>
      <x:c r="N202" s="524"/>
      <x:c r="O202" s="524"/>
    </x:row>
    <x:row r="203">
      <x:c r="A203" s="524"/>
      <x:c r="B203" s="538" t="n"/>
      <x:c r="C203" s="524"/>
      <x:c r="D203" s="524"/>
      <x:c r="E203" s="524"/>
      <x:c r="F203" s="552" t="n"/>
      <x:c r="G203" s="551" t="n"/>
      <x:c r="H203" s="551" t="str">
        <x:f>IF(OR(A203="",F203="",F203=0,G203=""),"",G203/F203)</x:f>
      </x:c>
      <x:c r="I203" s="553" t="str">
        <x:f>IF(OR(A203="",F203=""),"",F203*1000)</x:f>
      </x:c>
      <x:c r="J203" s="553" t="n"/>
      <x:c r="K203" s="553" t="str">
        <x:f>IF(A203="","",I203-J203)</x:f>
      </x:c>
      <x:c r="L203" s="524"/>
      <x:c r="M203" s="524"/>
      <x:c r="N203" s="524"/>
      <x:c r="O203" s="524"/>
    </x:row>
    <x:row r="204">
      <x:c r="A204" s="524"/>
      <x:c r="B204" s="538" t="n"/>
      <x:c r="C204" s="524"/>
      <x:c r="D204" s="524"/>
      <x:c r="E204" s="524"/>
      <x:c r="F204" s="552" t="n"/>
      <x:c r="G204" s="551" t="n"/>
      <x:c r="H204" s="551" t="str">
        <x:f>IF(OR(A204="",F204="",F204=0,G204=""),"",G204/F204)</x:f>
      </x:c>
      <x:c r="I204" s="553" t="str">
        <x:f>IF(OR(A204="",F204=""),"",F204*1000)</x:f>
      </x:c>
      <x:c r="J204" s="553" t="n"/>
      <x:c r="K204" s="553" t="str">
        <x:f>IF(A204="","",I204-J204)</x:f>
      </x:c>
      <x:c r="L204" s="524"/>
      <x:c r="M204" s="524"/>
      <x:c r="N204" s="524"/>
      <x:c r="O204" s="524"/>
    </x:row>
    <x:row r="205">
      <x:c r="A205" s="524"/>
      <x:c r="B205" s="538" t="n"/>
      <x:c r="C205" s="524"/>
      <x:c r="D205" s="524"/>
      <x:c r="E205" s="524"/>
      <x:c r="F205" s="552" t="n"/>
      <x:c r="G205" s="551" t="n"/>
      <x:c r="H205" s="551" t="str">
        <x:f>IF(OR(A205="",F205="",F205=0,G205=""),"",G205/F205)</x:f>
      </x:c>
      <x:c r="I205" s="553" t="str">
        <x:f>IF(OR(A205="",F205=""),"",F205*1000)</x:f>
      </x:c>
      <x:c r="J205" s="553" t="n"/>
      <x:c r="K205" s="553" t="str">
        <x:f>IF(A205="","",I205-J205)</x:f>
      </x:c>
      <x:c r="L205" s="524"/>
      <x:c r="M205" s="524"/>
      <x:c r="N205" s="524"/>
      <x:c r="O205" s="524"/>
    </x:row>
    <x:row r="206">
      <x:c r="A206" s="524"/>
      <x:c r="B206" s="538" t="n"/>
      <x:c r="C206" s="524"/>
      <x:c r="D206" s="524"/>
      <x:c r="E206" s="524"/>
      <x:c r="F206" s="552" t="n"/>
      <x:c r="G206" s="551" t="n"/>
      <x:c r="H206" s="551" t="str">
        <x:f>IF(OR(A206="",F206="",F206=0,G206=""),"",G206/F206)</x:f>
      </x:c>
      <x:c r="I206" s="553" t="str">
        <x:f>IF(OR(A206="",F206=""),"",F206*1000)</x:f>
      </x:c>
      <x:c r="J206" s="553" t="n"/>
      <x:c r="K206" s="553" t="str">
        <x:f>IF(A206="","",I206-J206)</x:f>
      </x:c>
      <x:c r="L206" s="524"/>
      <x:c r="M206" s="524"/>
      <x:c r="N206" s="524"/>
      <x:c r="O206" s="524"/>
    </x:row>
    <x:row r="207">
      <x:c r="A207" s="524"/>
      <x:c r="B207" s="538" t="n"/>
      <x:c r="C207" s="524"/>
      <x:c r="D207" s="524"/>
      <x:c r="E207" s="524"/>
      <x:c r="F207" s="552" t="n"/>
      <x:c r="G207" s="551" t="n"/>
      <x:c r="H207" s="551" t="str">
        <x:f>IF(OR(A207="",F207="",F207=0,G207=""),"",G207/F207)</x:f>
      </x:c>
      <x:c r="I207" s="553" t="str">
        <x:f>IF(OR(A207="",F207=""),"",F207*1000)</x:f>
      </x:c>
      <x:c r="J207" s="553" t="n"/>
      <x:c r="K207" s="553" t="str">
        <x:f>IF(A207="","",I207-J207)</x:f>
      </x:c>
      <x:c r="L207" s="524"/>
      <x:c r="M207" s="524"/>
      <x:c r="N207" s="524"/>
      <x:c r="O207" s="524"/>
    </x:row>
    <x:row r="208">
      <x:c r="A208" s="524"/>
      <x:c r="B208" s="538" t="n"/>
      <x:c r="C208" s="524"/>
      <x:c r="D208" s="524"/>
      <x:c r="E208" s="524"/>
      <x:c r="F208" s="552" t="n"/>
      <x:c r="G208" s="551" t="n"/>
      <x:c r="H208" s="551" t="str">
        <x:f>IF(OR(A208="",F208="",F208=0,G208=""),"",G208/F208)</x:f>
      </x:c>
      <x:c r="I208" s="553" t="str">
        <x:f>IF(OR(A208="",F208=""),"",F208*1000)</x:f>
      </x:c>
      <x:c r="J208" s="553" t="n"/>
      <x:c r="K208" s="553" t="str">
        <x:f>IF(A208="","",I208-J208)</x:f>
      </x:c>
      <x:c r="L208" s="524"/>
      <x:c r="M208" s="524"/>
      <x:c r="N208" s="524"/>
      <x:c r="O208" s="524"/>
    </x:row>
    <x:row r="209">
      <x:c r="A209" s="524"/>
      <x:c r="B209" s="538" t="n"/>
      <x:c r="C209" s="524"/>
      <x:c r="D209" s="524"/>
      <x:c r="E209" s="524"/>
      <x:c r="F209" s="552" t="n"/>
      <x:c r="G209" s="551" t="n"/>
      <x:c r="H209" s="551" t="str">
        <x:f>IF(OR(A209="",F209="",F209=0,G209=""),"",G209/F209)</x:f>
      </x:c>
      <x:c r="I209" s="553" t="str">
        <x:f>IF(OR(A209="",F209=""),"",F209*1000)</x:f>
      </x:c>
      <x:c r="J209" s="553" t="n"/>
      <x:c r="K209" s="553" t="str">
        <x:f>IF(A209="","",I209-J209)</x:f>
      </x:c>
      <x:c r="L209" s="524"/>
      <x:c r="M209" s="524"/>
      <x:c r="N209" s="524"/>
      <x:c r="O209" s="524"/>
    </x:row>
    <x:row r="210">
      <x:c r="A210" s="524"/>
      <x:c r="B210" s="538" t="n"/>
      <x:c r="C210" s="524"/>
      <x:c r="D210" s="524"/>
      <x:c r="E210" s="524"/>
      <x:c r="F210" s="552" t="n"/>
      <x:c r="G210" s="551" t="n"/>
      <x:c r="H210" s="551" t="str">
        <x:f>IF(OR(A210="",F210="",F210=0,G210=""),"",G210/F210)</x:f>
      </x:c>
      <x:c r="I210" s="553" t="str">
        <x:f>IF(OR(A210="",F210=""),"",F210*1000)</x:f>
      </x:c>
      <x:c r="J210" s="553" t="n"/>
      <x:c r="K210" s="553" t="str">
        <x:f>IF(A210="","",I210-J210)</x:f>
      </x:c>
      <x:c r="L210" s="524"/>
      <x:c r="M210" s="524"/>
      <x:c r="N210" s="524"/>
      <x:c r="O210" s="524"/>
    </x:row>
    <x:row r="211">
      <x:c r="A211" s="524"/>
      <x:c r="B211" s="538" t="n"/>
      <x:c r="C211" s="524"/>
      <x:c r="D211" s="524"/>
      <x:c r="E211" s="524"/>
      <x:c r="F211" s="552" t="n"/>
      <x:c r="G211" s="551" t="n"/>
      <x:c r="H211" s="551" t="str">
        <x:f>IF(OR(A211="",F211="",F211=0,G211=""),"",G211/F211)</x:f>
      </x:c>
      <x:c r="I211" s="553" t="str">
        <x:f>IF(OR(A211="",F211=""),"",F211*1000)</x:f>
      </x:c>
      <x:c r="J211" s="553" t="n"/>
      <x:c r="K211" s="553" t="str">
        <x:f>IF(A211="","",I211-J211)</x:f>
      </x:c>
      <x:c r="L211" s="524"/>
      <x:c r="M211" s="524"/>
      <x:c r="N211" s="524"/>
      <x:c r="O211" s="524"/>
    </x:row>
    <x:row r="212">
      <x:c r="A212" s="524"/>
      <x:c r="B212" s="538" t="n"/>
      <x:c r="C212" s="524"/>
      <x:c r="D212" s="524"/>
      <x:c r="E212" s="524"/>
      <x:c r="F212" s="552" t="n"/>
      <x:c r="G212" s="551" t="n"/>
      <x:c r="H212" s="551" t="str">
        <x:f>IF(OR(A212="",F212="",F212=0,G212=""),"",G212/F212)</x:f>
      </x:c>
      <x:c r="I212" s="553" t="str">
        <x:f>IF(OR(A212="",F212=""),"",F212*1000)</x:f>
      </x:c>
      <x:c r="J212" s="553" t="n"/>
      <x:c r="K212" s="553" t="str">
        <x:f>IF(A212="","",I212-J212)</x:f>
      </x:c>
      <x:c r="L212" s="524"/>
      <x:c r="M212" s="524"/>
      <x:c r="N212" s="524"/>
      <x:c r="O212" s="524"/>
    </x:row>
    <x:row r="213">
      <x:c r="A213" s="524"/>
      <x:c r="B213" s="538" t="n"/>
      <x:c r="C213" s="524"/>
      <x:c r="D213" s="524"/>
      <x:c r="E213" s="524"/>
      <x:c r="F213" s="552" t="n"/>
      <x:c r="G213" s="551" t="n"/>
      <x:c r="H213" s="551" t="str">
        <x:f>IF(OR(A213="",F213="",F213=0,G213=""),"",G213/F213)</x:f>
      </x:c>
      <x:c r="I213" s="553" t="str">
        <x:f>IF(OR(A213="",F213=""),"",F213*1000)</x:f>
      </x:c>
      <x:c r="J213" s="553" t="n"/>
      <x:c r="K213" s="553" t="str">
        <x:f>IF(A213="","",I213-J213)</x:f>
      </x:c>
      <x:c r="L213" s="524"/>
      <x:c r="M213" s="524"/>
      <x:c r="N213" s="524"/>
      <x:c r="O213" s="524"/>
    </x:row>
    <x:row r="214">
      <x:c r="A214" s="524"/>
      <x:c r="B214" s="538" t="n"/>
      <x:c r="C214" s="524"/>
      <x:c r="D214" s="524"/>
      <x:c r="E214" s="524"/>
      <x:c r="F214" s="552" t="n"/>
      <x:c r="G214" s="551" t="n"/>
      <x:c r="H214" s="551" t="str">
        <x:f>IF(OR(A214="",F214="",F214=0,G214=""),"",G214/F214)</x:f>
      </x:c>
      <x:c r="I214" s="553" t="str">
        <x:f>IF(OR(A214="",F214=""),"",F214*1000)</x:f>
      </x:c>
      <x:c r="J214" s="553" t="n"/>
      <x:c r="K214" s="553" t="str">
        <x:f>IF(A214="","",I214-J214)</x:f>
      </x:c>
      <x:c r="L214" s="524"/>
      <x:c r="M214" s="524"/>
      <x:c r="N214" s="524"/>
      <x:c r="O214" s="524"/>
    </x:row>
    <x:row r="215">
      <x:c r="A215" s="524"/>
      <x:c r="B215" s="538" t="n"/>
      <x:c r="C215" s="524"/>
      <x:c r="D215" s="524"/>
      <x:c r="E215" s="524"/>
      <x:c r="F215" s="552" t="n"/>
      <x:c r="G215" s="551" t="n"/>
      <x:c r="H215" s="551" t="str">
        <x:f>IF(OR(A215="",F215="",F215=0,G215=""),"",G215/F215)</x:f>
      </x:c>
      <x:c r="I215" s="553" t="str">
        <x:f>IF(OR(A215="",F215=""),"",F215*1000)</x:f>
      </x:c>
      <x:c r="J215" s="553" t="n"/>
      <x:c r="K215" s="553" t="str">
        <x:f>IF(A215="","",I215-J215)</x:f>
      </x:c>
      <x:c r="L215" s="524"/>
      <x:c r="M215" s="524"/>
      <x:c r="N215" s="524"/>
      <x:c r="O215" s="524"/>
    </x:row>
    <x:row r="216">
      <x:c r="A216" s="524"/>
      <x:c r="B216" s="538" t="n"/>
      <x:c r="C216" s="524"/>
      <x:c r="D216" s="524"/>
      <x:c r="E216" s="524"/>
      <x:c r="F216" s="552" t="n"/>
      <x:c r="G216" s="551" t="n"/>
      <x:c r="H216" s="551" t="str">
        <x:f>IF(OR(A216="",F216="",F216=0,G216=""),"",G216/F216)</x:f>
      </x:c>
      <x:c r="I216" s="553" t="str">
        <x:f>IF(OR(A216="",F216=""),"",F216*1000)</x:f>
      </x:c>
      <x:c r="J216" s="553" t="n"/>
      <x:c r="K216" s="553" t="str">
        <x:f>IF(A216="","",I216-J216)</x:f>
      </x:c>
      <x:c r="L216" s="524"/>
      <x:c r="M216" s="524"/>
      <x:c r="N216" s="524"/>
      <x:c r="O216" s="524"/>
    </x:row>
    <x:row r="217">
      <x:c r="A217" s="524"/>
      <x:c r="B217" s="538" t="n"/>
      <x:c r="C217" s="524"/>
      <x:c r="D217" s="524"/>
      <x:c r="E217" s="524"/>
      <x:c r="F217" s="552" t="n"/>
      <x:c r="G217" s="551" t="n"/>
      <x:c r="H217" s="551" t="str">
        <x:f>IF(OR(A217="",F217="",F217=0,G217=""),"",G217/F217)</x:f>
      </x:c>
      <x:c r="I217" s="553" t="str">
        <x:f>IF(OR(A217="",F217=""),"",F217*1000)</x:f>
      </x:c>
      <x:c r="J217" s="553" t="n"/>
      <x:c r="K217" s="553" t="str">
        <x:f>IF(A217="","",I217-J217)</x:f>
      </x:c>
      <x:c r="L217" s="524"/>
      <x:c r="M217" s="524"/>
      <x:c r="N217" s="524"/>
      <x:c r="O217" s="524"/>
    </x:row>
    <x:row r="218">
      <x:c r="A218" s="524"/>
      <x:c r="B218" s="538" t="n"/>
      <x:c r="C218" s="524"/>
      <x:c r="D218" s="524"/>
      <x:c r="E218" s="524"/>
      <x:c r="F218" s="552" t="n"/>
      <x:c r="G218" s="551" t="n"/>
      <x:c r="H218" s="551" t="str">
        <x:f>IF(OR(A218="",F218="",F218=0,G218=""),"",G218/F218)</x:f>
      </x:c>
      <x:c r="I218" s="553" t="str">
        <x:f>IF(OR(A218="",F218=""),"",F218*1000)</x:f>
      </x:c>
      <x:c r="J218" s="553" t="n"/>
      <x:c r="K218" s="553" t="str">
        <x:f>IF(A218="","",I218-J218)</x:f>
      </x:c>
      <x:c r="L218" s="524"/>
      <x:c r="M218" s="524"/>
      <x:c r="N218" s="524"/>
      <x:c r="O218" s="524"/>
    </x:row>
    <x:row r="219">
      <x:c r="A219" s="524"/>
      <x:c r="B219" s="538" t="n"/>
      <x:c r="C219" s="524"/>
      <x:c r="D219" s="524"/>
      <x:c r="E219" s="524"/>
      <x:c r="F219" s="552" t="n"/>
      <x:c r="G219" s="551" t="n"/>
      <x:c r="H219" s="551" t="str">
        <x:f>IF(OR(A219="",F219="",F219=0,G219=""),"",G219/F219)</x:f>
      </x:c>
      <x:c r="I219" s="553" t="str">
        <x:f>IF(OR(A219="",F219=""),"",F219*1000)</x:f>
      </x:c>
      <x:c r="J219" s="553" t="n"/>
      <x:c r="K219" s="553" t="str">
        <x:f>IF(A219="","",I219-J219)</x:f>
      </x:c>
      <x:c r="L219" s="524"/>
      <x:c r="M219" s="524"/>
      <x:c r="N219" s="524"/>
      <x:c r="O219" s="524"/>
    </x:row>
    <x:row r="220">
      <x:c r="A220" s="524"/>
      <x:c r="B220" s="538" t="n"/>
      <x:c r="C220" s="524"/>
      <x:c r="D220" s="524"/>
      <x:c r="E220" s="524"/>
      <x:c r="F220" s="552" t="n"/>
      <x:c r="G220" s="551" t="n"/>
      <x:c r="H220" s="551" t="str">
        <x:f>IF(OR(A220="",F220="",F220=0,G220=""),"",G220/F220)</x:f>
      </x:c>
      <x:c r="I220" s="553" t="str">
        <x:f>IF(OR(A220="",F220=""),"",F220*1000)</x:f>
      </x:c>
      <x:c r="J220" s="553" t="n"/>
      <x:c r="K220" s="553" t="str">
        <x:f>IF(A220="","",I220-J220)</x:f>
      </x:c>
      <x:c r="L220" s="524"/>
      <x:c r="M220" s="524"/>
      <x:c r="N220" s="524"/>
      <x:c r="O220" s="524"/>
    </x:row>
    <x:row r="221">
      <x:c r="A221" s="524"/>
      <x:c r="B221" s="538" t="n"/>
      <x:c r="C221" s="524"/>
      <x:c r="D221" s="524"/>
      <x:c r="E221" s="524"/>
      <x:c r="F221" s="552" t="n"/>
      <x:c r="G221" s="551" t="n"/>
      <x:c r="H221" s="551" t="str">
        <x:f>IF(OR(A221="",F221="",F221=0,G221=""),"",G221/F221)</x:f>
      </x:c>
      <x:c r="I221" s="553" t="str">
        <x:f>IF(OR(A221="",F221=""),"",F221*1000)</x:f>
      </x:c>
      <x:c r="J221" s="553" t="n"/>
      <x:c r="K221" s="553" t="str">
        <x:f>IF(A221="","",I221-J221)</x:f>
      </x:c>
      <x:c r="L221" s="524"/>
      <x:c r="M221" s="524"/>
      <x:c r="N221" s="524"/>
      <x:c r="O221" s="524"/>
    </x:row>
    <x:row r="222">
      <x:c r="A222" s="524"/>
      <x:c r="B222" s="538" t="n"/>
      <x:c r="C222" s="524"/>
      <x:c r="D222" s="524"/>
      <x:c r="E222" s="524"/>
      <x:c r="F222" s="552" t="n"/>
      <x:c r="G222" s="551" t="n"/>
      <x:c r="H222" s="551" t="str">
        <x:f>IF(OR(A222="",F222="",F222=0,G222=""),"",G222/F222)</x:f>
      </x:c>
      <x:c r="I222" s="553" t="str">
        <x:f>IF(OR(A222="",F222=""),"",F222*1000)</x:f>
      </x:c>
      <x:c r="J222" s="553" t="n"/>
      <x:c r="K222" s="553" t="str">
        <x:f>IF(A222="","",I222-J222)</x:f>
      </x:c>
      <x:c r="L222" s="524"/>
      <x:c r="M222" s="524"/>
      <x:c r="N222" s="524"/>
      <x:c r="O222" s="524"/>
    </x:row>
    <x:row r="223">
      <x:c r="A223" s="524"/>
      <x:c r="B223" s="538" t="n"/>
      <x:c r="C223" s="524"/>
      <x:c r="D223" s="524"/>
      <x:c r="E223" s="524"/>
      <x:c r="F223" s="552" t="n"/>
      <x:c r="G223" s="551" t="n"/>
      <x:c r="H223" s="551" t="str">
        <x:f>IF(OR(A223="",F223="",F223=0,G223=""),"",G223/F223)</x:f>
      </x:c>
      <x:c r="I223" s="553" t="str">
        <x:f>IF(OR(A223="",F223=""),"",F223*1000)</x:f>
      </x:c>
      <x:c r="J223" s="553" t="n"/>
      <x:c r="K223" s="553" t="str">
        <x:f>IF(A223="","",I223-J223)</x:f>
      </x:c>
      <x:c r="L223" s="524"/>
      <x:c r="M223" s="524"/>
      <x:c r="N223" s="524"/>
      <x:c r="O223" s="524"/>
    </x:row>
    <x:row r="224">
      <x:c r="A224" s="524"/>
      <x:c r="B224" s="538" t="n"/>
      <x:c r="C224" s="524"/>
      <x:c r="D224" s="524"/>
      <x:c r="E224" s="524"/>
      <x:c r="F224" s="552" t="n"/>
      <x:c r="G224" s="551" t="n"/>
      <x:c r="H224" s="551" t="str">
        <x:f>IF(OR(A224="",F224="",F224=0,G224=""),"",G224/F224)</x:f>
      </x:c>
      <x:c r="I224" s="553" t="str">
        <x:f>IF(OR(A224="",F224=""),"",F224*1000)</x:f>
      </x:c>
      <x:c r="J224" s="553" t="n"/>
      <x:c r="K224" s="553" t="str">
        <x:f>IF(A224="","",I224-J224)</x:f>
      </x:c>
      <x:c r="L224" s="524"/>
      <x:c r="M224" s="524"/>
      <x:c r="N224" s="524"/>
      <x:c r="O224" s="524"/>
    </x:row>
    <x:row r="225">
      <x:c r="A225" s="524"/>
      <x:c r="B225" s="538" t="n"/>
      <x:c r="C225" s="524"/>
      <x:c r="D225" s="524"/>
      <x:c r="E225" s="524"/>
      <x:c r="F225" s="552" t="n"/>
      <x:c r="G225" s="551" t="n"/>
      <x:c r="H225" s="551" t="str">
        <x:f>IF(OR(A225="",F225="",F225=0,G225=""),"",G225/F225)</x:f>
      </x:c>
      <x:c r="I225" s="553" t="str">
        <x:f>IF(OR(A225="",F225=""),"",F225*1000)</x:f>
      </x:c>
      <x:c r="J225" s="553" t="n"/>
      <x:c r="K225" s="553" t="str">
        <x:f>IF(A225="","",I225-J225)</x:f>
      </x:c>
      <x:c r="L225" s="524"/>
      <x:c r="M225" s="524"/>
      <x:c r="N225" s="524"/>
      <x:c r="O225" s="524"/>
    </x:row>
    <x:row r="226">
      <x:c r="A226" s="524"/>
      <x:c r="B226" s="538" t="n"/>
      <x:c r="C226" s="524"/>
      <x:c r="D226" s="524"/>
      <x:c r="E226" s="524"/>
      <x:c r="F226" s="552" t="n"/>
      <x:c r="G226" s="551" t="n"/>
      <x:c r="H226" s="551" t="str">
        <x:f>IF(OR(A226="",F226="",F226=0,G226=""),"",G226/F226)</x:f>
      </x:c>
      <x:c r="I226" s="553" t="str">
        <x:f>IF(OR(A226="",F226=""),"",F226*1000)</x:f>
      </x:c>
      <x:c r="J226" s="553" t="n"/>
      <x:c r="K226" s="553" t="str">
        <x:f>IF(A226="","",I226-J226)</x:f>
      </x:c>
      <x:c r="L226" s="524"/>
      <x:c r="M226" s="524"/>
      <x:c r="N226" s="524"/>
      <x:c r="O226" s="524"/>
    </x:row>
    <x:row r="227">
      <x:c r="A227" s="524"/>
      <x:c r="B227" s="538" t="n"/>
      <x:c r="C227" s="524"/>
      <x:c r="D227" s="524"/>
      <x:c r="E227" s="524"/>
      <x:c r="F227" s="552" t="n"/>
      <x:c r="G227" s="551" t="n"/>
      <x:c r="H227" s="551" t="str">
        <x:f>IF(OR(A227="",F227="",F227=0,G227=""),"",G227/F227)</x:f>
      </x:c>
      <x:c r="I227" s="553" t="str">
        <x:f>IF(OR(A227="",F227=""),"",F227*1000)</x:f>
      </x:c>
      <x:c r="J227" s="553" t="n"/>
      <x:c r="K227" s="553" t="str">
        <x:f>IF(A227="","",I227-J227)</x:f>
      </x:c>
      <x:c r="L227" s="524"/>
      <x:c r="M227" s="524"/>
      <x:c r="N227" s="524"/>
      <x:c r="O227" s="524"/>
    </x:row>
    <x:row r="228">
      <x:c r="A228" s="524"/>
      <x:c r="B228" s="538" t="n"/>
      <x:c r="C228" s="524"/>
      <x:c r="D228" s="524"/>
      <x:c r="E228" s="524"/>
      <x:c r="F228" s="552" t="n"/>
      <x:c r="G228" s="551" t="n"/>
      <x:c r="H228" s="551" t="str">
        <x:f>IF(OR(A228="",F228="",F228=0,G228=""),"",G228/F228)</x:f>
      </x:c>
      <x:c r="I228" s="553" t="str">
        <x:f>IF(OR(A228="",F228=""),"",F228*1000)</x:f>
      </x:c>
      <x:c r="J228" s="553" t="n"/>
      <x:c r="K228" s="553" t="str">
        <x:f>IF(A228="","",I228-J228)</x:f>
      </x:c>
      <x:c r="L228" s="524"/>
      <x:c r="M228" s="524"/>
      <x:c r="N228" s="524"/>
      <x:c r="O228" s="524"/>
    </x:row>
    <x:row r="229">
      <x:c r="A229" s="524"/>
      <x:c r="B229" s="538" t="n"/>
      <x:c r="C229" s="524"/>
      <x:c r="D229" s="524"/>
      <x:c r="E229" s="524"/>
      <x:c r="F229" s="552" t="n"/>
      <x:c r="G229" s="551" t="n"/>
      <x:c r="H229" s="551" t="str">
        <x:f>IF(OR(A229="",F229="",F229=0,G229=""),"",G229/F229)</x:f>
      </x:c>
      <x:c r="I229" s="553" t="str">
        <x:f>IF(OR(A229="",F229=""),"",F229*1000)</x:f>
      </x:c>
      <x:c r="J229" s="553" t="n"/>
      <x:c r="K229" s="553" t="str">
        <x:f>IF(A229="","",I229-J229)</x:f>
      </x:c>
      <x:c r="L229" s="524"/>
      <x:c r="M229" s="524"/>
      <x:c r="N229" s="524"/>
      <x:c r="O229" s="524"/>
    </x:row>
    <x:row r="230">
      <x:c r="A230" s="524"/>
      <x:c r="B230" s="538" t="n"/>
      <x:c r="C230" s="524"/>
      <x:c r="D230" s="524"/>
      <x:c r="E230" s="524"/>
      <x:c r="F230" s="552" t="n"/>
      <x:c r="G230" s="551" t="n"/>
      <x:c r="H230" s="551" t="str">
        <x:f>IF(OR(A230="",F230="",F230=0,G230=""),"",G230/F230)</x:f>
      </x:c>
      <x:c r="I230" s="553" t="str">
        <x:f>IF(OR(A230="",F230=""),"",F230*1000)</x:f>
      </x:c>
      <x:c r="J230" s="553" t="n"/>
      <x:c r="K230" s="553" t="str">
        <x:f>IF(A230="","",I230-J230)</x:f>
      </x:c>
      <x:c r="L230" s="524"/>
      <x:c r="M230" s="524"/>
      <x:c r="N230" s="524"/>
      <x:c r="O230" s="524"/>
    </x:row>
    <x:row r="231">
      <x:c r="A231" s="524"/>
      <x:c r="B231" s="538" t="n"/>
      <x:c r="C231" s="524"/>
      <x:c r="D231" s="524"/>
      <x:c r="E231" s="524"/>
      <x:c r="F231" s="552" t="n"/>
      <x:c r="G231" s="551" t="n"/>
      <x:c r="H231" s="551" t="str">
        <x:f>IF(OR(A231="",F231="",F231=0,G231=""),"",G231/F231)</x:f>
      </x:c>
      <x:c r="I231" s="553" t="str">
        <x:f>IF(OR(A231="",F231=""),"",F231*1000)</x:f>
      </x:c>
      <x:c r="J231" s="553" t="n"/>
      <x:c r="K231" s="553" t="str">
        <x:f>IF(A231="","",I231-J231)</x:f>
      </x:c>
      <x:c r="L231" s="524"/>
      <x:c r="M231" s="524"/>
      <x:c r="N231" s="524"/>
      <x:c r="O231" s="524"/>
    </x:row>
    <x:row r="232">
      <x:c r="A232" s="524"/>
      <x:c r="B232" s="538" t="n"/>
      <x:c r="C232" s="524"/>
      <x:c r="D232" s="524"/>
      <x:c r="E232" s="524"/>
      <x:c r="F232" s="552" t="n"/>
      <x:c r="G232" s="551" t="n"/>
      <x:c r="H232" s="551" t="str">
        <x:f>IF(OR(A232="",F232="",F232=0,G232=""),"",G232/F232)</x:f>
      </x:c>
      <x:c r="I232" s="553" t="str">
        <x:f>IF(OR(A232="",F232=""),"",F232*1000)</x:f>
      </x:c>
      <x:c r="J232" s="553" t="n"/>
      <x:c r="K232" s="553" t="str">
        <x:f>IF(A232="","",I232-J232)</x:f>
      </x:c>
      <x:c r="L232" s="524"/>
      <x:c r="M232" s="524"/>
      <x:c r="N232" s="524"/>
      <x:c r="O232" s="524"/>
    </x:row>
    <x:row r="233">
      <x:c r="A233" s="524"/>
      <x:c r="B233" s="538" t="n"/>
      <x:c r="C233" s="524"/>
      <x:c r="D233" s="524"/>
      <x:c r="E233" s="524"/>
      <x:c r="F233" s="552" t="n"/>
      <x:c r="G233" s="551" t="n"/>
      <x:c r="H233" s="551" t="str">
        <x:f>IF(OR(A233="",F233="",F233=0,G233=""),"",G233/F233)</x:f>
      </x:c>
      <x:c r="I233" s="553" t="str">
        <x:f>IF(OR(A233="",F233=""),"",F233*1000)</x:f>
      </x:c>
      <x:c r="J233" s="553" t="n"/>
      <x:c r="K233" s="553" t="str">
        <x:f>IF(A233="","",I233-J233)</x:f>
      </x:c>
      <x:c r="L233" s="524"/>
      <x:c r="M233" s="524"/>
      <x:c r="N233" s="524"/>
      <x:c r="O233" s="524"/>
    </x:row>
    <x:row r="234">
      <x:c r="A234" s="524"/>
      <x:c r="B234" s="538" t="n"/>
      <x:c r="C234" s="524"/>
      <x:c r="D234" s="524"/>
      <x:c r="E234" s="524"/>
      <x:c r="F234" s="552" t="n"/>
      <x:c r="G234" s="551" t="n"/>
      <x:c r="H234" s="551" t="str">
        <x:f>IF(OR(A234="",F234="",F234=0,G234=""),"",G234/F234)</x:f>
      </x:c>
      <x:c r="I234" s="553" t="str">
        <x:f>IF(OR(A234="",F234=""),"",F234*1000)</x:f>
      </x:c>
      <x:c r="J234" s="553" t="n"/>
      <x:c r="K234" s="553" t="str">
        <x:f>IF(A234="","",I234-J234)</x:f>
      </x:c>
      <x:c r="L234" s="524"/>
      <x:c r="M234" s="524"/>
      <x:c r="N234" s="524"/>
      <x:c r="O234" s="524"/>
    </x:row>
    <x:row r="235">
      <x:c r="A235" s="524"/>
      <x:c r="B235" s="538" t="n"/>
      <x:c r="C235" s="524"/>
      <x:c r="D235" s="524"/>
      <x:c r="E235" s="524"/>
      <x:c r="F235" s="552" t="n"/>
      <x:c r="G235" s="551" t="n"/>
      <x:c r="H235" s="551" t="str">
        <x:f>IF(OR(A235="",F235="",F235=0,G235=""),"",G235/F235)</x:f>
      </x:c>
      <x:c r="I235" s="553" t="str">
        <x:f>IF(OR(A235="",F235=""),"",F235*1000)</x:f>
      </x:c>
      <x:c r="J235" s="553" t="n"/>
      <x:c r="K235" s="553" t="str">
        <x:f>IF(A235="","",I235-J235)</x:f>
      </x:c>
      <x:c r="L235" s="524"/>
      <x:c r="M235" s="524"/>
      <x:c r="N235" s="524"/>
      <x:c r="O235" s="524"/>
    </x:row>
    <x:row r="236">
      <x:c r="A236" s="524"/>
      <x:c r="B236" s="538" t="n"/>
      <x:c r="C236" s="524"/>
      <x:c r="D236" s="524"/>
      <x:c r="E236" s="524"/>
      <x:c r="F236" s="552" t="n"/>
      <x:c r="G236" s="551" t="n"/>
      <x:c r="H236" s="551" t="str">
        <x:f>IF(OR(A236="",F236="",F236=0,G236=""),"",G236/F236)</x:f>
      </x:c>
      <x:c r="I236" s="553" t="str">
        <x:f>IF(OR(A236="",F236=""),"",F236*1000)</x:f>
      </x:c>
      <x:c r="J236" s="553" t="n"/>
      <x:c r="K236" s="553" t="str">
        <x:f>IF(A236="","",I236-J236)</x:f>
      </x:c>
      <x:c r="L236" s="524"/>
      <x:c r="M236" s="524"/>
      <x:c r="N236" s="524"/>
      <x:c r="O236" s="524"/>
    </x:row>
    <x:row r="237">
      <x:c r="A237" s="524"/>
      <x:c r="B237" s="538" t="n"/>
      <x:c r="C237" s="524"/>
      <x:c r="D237" s="524"/>
      <x:c r="E237" s="524"/>
      <x:c r="F237" s="552" t="n"/>
      <x:c r="G237" s="551" t="n"/>
      <x:c r="H237" s="551" t="str">
        <x:f>IF(OR(A237="",F237="",F237=0,G237=""),"",G237/F237)</x:f>
      </x:c>
      <x:c r="I237" s="553" t="str">
        <x:f>IF(OR(A237="",F237=""),"",F237*1000)</x:f>
      </x:c>
      <x:c r="J237" s="553" t="n"/>
      <x:c r="K237" s="553" t="str">
        <x:f>IF(A237="","",I237-J237)</x:f>
      </x:c>
      <x:c r="L237" s="524"/>
      <x:c r="M237" s="524"/>
      <x:c r="N237" s="524"/>
      <x:c r="O237" s="524"/>
    </x:row>
    <x:row r="238">
      <x:c r="A238" s="524"/>
      <x:c r="B238" s="538" t="n"/>
      <x:c r="C238" s="524"/>
      <x:c r="D238" s="524"/>
      <x:c r="E238" s="524"/>
      <x:c r="F238" s="552" t="n"/>
      <x:c r="G238" s="551" t="n"/>
      <x:c r="H238" s="551" t="str">
        <x:f>IF(OR(A238="",F238="",F238=0,G238=""),"",G238/F238)</x:f>
      </x:c>
      <x:c r="I238" s="553" t="str">
        <x:f>IF(OR(A238="",F238=""),"",F238*1000)</x:f>
      </x:c>
      <x:c r="J238" s="553" t="n"/>
      <x:c r="K238" s="553" t="str">
        <x:f>IF(A238="","",I238-J238)</x:f>
      </x:c>
      <x:c r="L238" s="524"/>
      <x:c r="M238" s="524"/>
      <x:c r="N238" s="524"/>
      <x:c r="O238" s="524"/>
    </x:row>
    <x:row r="239">
      <x:c r="A239" s="524"/>
      <x:c r="B239" s="538" t="n"/>
      <x:c r="C239" s="524"/>
      <x:c r="D239" s="524"/>
      <x:c r="E239" s="524"/>
      <x:c r="F239" s="552" t="n"/>
      <x:c r="G239" s="551" t="n"/>
      <x:c r="H239" s="551" t="str">
        <x:f>IF(OR(A239="",F239="",F239=0,G239=""),"",G239/F239)</x:f>
      </x:c>
      <x:c r="I239" s="553" t="str">
        <x:f>IF(OR(A239="",F239=""),"",F239*1000)</x:f>
      </x:c>
      <x:c r="J239" s="553" t="n"/>
      <x:c r="K239" s="553" t="str">
        <x:f>IF(A239="","",I239-J239)</x:f>
      </x:c>
      <x:c r="L239" s="524"/>
      <x:c r="M239" s="524"/>
      <x:c r="N239" s="524"/>
      <x:c r="O239" s="524"/>
    </x:row>
    <x:row r="240">
      <x:c r="A240" s="524"/>
      <x:c r="B240" s="538" t="n"/>
      <x:c r="C240" s="524"/>
      <x:c r="D240" s="524"/>
      <x:c r="E240" s="524"/>
      <x:c r="F240" s="552" t="n"/>
      <x:c r="G240" s="551" t="n"/>
      <x:c r="H240" s="551" t="str">
        <x:f>IF(OR(A240="",F240="",F240=0,G240=""),"",G240/F240)</x:f>
      </x:c>
      <x:c r="I240" s="553" t="str">
        <x:f>IF(OR(A240="",F240=""),"",F240*1000)</x:f>
      </x:c>
      <x:c r="J240" s="553" t="n"/>
      <x:c r="K240" s="553" t="str">
        <x:f>IF(A240="","",I240-J240)</x:f>
      </x:c>
      <x:c r="L240" s="524"/>
      <x:c r="M240" s="524"/>
      <x:c r="N240" s="524"/>
      <x:c r="O240" s="524"/>
    </x:row>
    <x:row r="241">
      <x:c r="A241" s="524"/>
      <x:c r="B241" s="538" t="n"/>
      <x:c r="C241" s="524"/>
      <x:c r="D241" s="524"/>
      <x:c r="E241" s="524"/>
      <x:c r="F241" s="552" t="n"/>
      <x:c r="G241" s="551" t="n"/>
      <x:c r="H241" s="551" t="str">
        <x:f>IF(OR(A241="",F241="",F241=0,G241=""),"",G241/F241)</x:f>
      </x:c>
      <x:c r="I241" s="553" t="str">
        <x:f>IF(OR(A241="",F241=""),"",F241*1000)</x:f>
      </x:c>
      <x:c r="J241" s="553" t="n"/>
      <x:c r="K241" s="553" t="str">
        <x:f>IF(A241="","",I241-J241)</x:f>
      </x:c>
      <x:c r="L241" s="524"/>
      <x:c r="M241" s="524"/>
      <x:c r="N241" s="524"/>
      <x:c r="O241" s="524"/>
    </x:row>
    <x:row r="242">
      <x:c r="A242" s="524"/>
      <x:c r="B242" s="538" t="n"/>
      <x:c r="C242" s="524"/>
      <x:c r="D242" s="524"/>
      <x:c r="E242" s="524"/>
      <x:c r="F242" s="552" t="n"/>
      <x:c r="G242" s="551" t="n"/>
      <x:c r="H242" s="551" t="str">
        <x:f>IF(OR(A242="",F242="",F242=0,G242=""),"",G242/F242)</x:f>
      </x:c>
      <x:c r="I242" s="553" t="str">
        <x:f>IF(OR(A242="",F242=""),"",F242*1000)</x:f>
      </x:c>
      <x:c r="J242" s="553" t="n"/>
      <x:c r="K242" s="553" t="str">
        <x:f>IF(A242="","",I242-J242)</x:f>
      </x:c>
      <x:c r="L242" s="524"/>
      <x:c r="M242" s="524"/>
      <x:c r="N242" s="524"/>
      <x:c r="O242" s="524"/>
    </x:row>
    <x:row r="243">
      <x:c r="A243" s="524"/>
      <x:c r="B243" s="538" t="n"/>
      <x:c r="C243" s="524"/>
      <x:c r="D243" s="524"/>
      <x:c r="E243" s="524"/>
      <x:c r="F243" s="552" t="n"/>
      <x:c r="G243" s="551" t="n"/>
      <x:c r="H243" s="551" t="str">
        <x:f>IF(OR(A243="",F243="",F243=0,G243=""),"",G243/F243)</x:f>
      </x:c>
      <x:c r="I243" s="553" t="str">
        <x:f>IF(OR(A243="",F243=""),"",F243*1000)</x:f>
      </x:c>
      <x:c r="J243" s="553" t="n"/>
      <x:c r="K243" s="553" t="str">
        <x:f>IF(A243="","",I243-J243)</x:f>
      </x:c>
      <x:c r="L243" s="524"/>
      <x:c r="M243" s="524"/>
      <x:c r="N243" s="524"/>
      <x:c r="O243" s="524"/>
    </x:row>
    <x:row r="244">
      <x:c r="A244" s="524"/>
      <x:c r="B244" s="538" t="n"/>
      <x:c r="C244" s="524"/>
      <x:c r="D244" s="524"/>
      <x:c r="E244" s="524"/>
      <x:c r="F244" s="552" t="n"/>
      <x:c r="G244" s="551" t="n"/>
      <x:c r="H244" s="551" t="str">
        <x:f>IF(OR(A244="",F244="",F244=0,G244=""),"",G244/F244)</x:f>
      </x:c>
      <x:c r="I244" s="553" t="str">
        <x:f>IF(OR(A244="",F244=""),"",F244*1000)</x:f>
      </x:c>
      <x:c r="J244" s="553" t="n"/>
      <x:c r="K244" s="553" t="str">
        <x:f>IF(A244="","",I244-J244)</x:f>
      </x:c>
      <x:c r="L244" s="524"/>
      <x:c r="M244" s="524"/>
      <x:c r="N244" s="524"/>
      <x:c r="O244" s="524"/>
    </x:row>
    <x:row r="245">
      <x:c r="A245" s="524"/>
      <x:c r="B245" s="538" t="n"/>
      <x:c r="C245" s="524"/>
      <x:c r="D245" s="524"/>
      <x:c r="E245" s="524"/>
      <x:c r="F245" s="552" t="n"/>
      <x:c r="G245" s="551" t="n"/>
      <x:c r="H245" s="551" t="str">
        <x:f>IF(OR(A245="",F245="",F245=0,G245=""),"",G245/F245)</x:f>
      </x:c>
      <x:c r="I245" s="553" t="str">
        <x:f>IF(OR(A245="",F245=""),"",F245*1000)</x:f>
      </x:c>
      <x:c r="J245" s="553" t="n"/>
      <x:c r="K245" s="553" t="str">
        <x:f>IF(A245="","",I245-J245)</x:f>
      </x:c>
      <x:c r="L245" s="524"/>
      <x:c r="M245" s="524"/>
      <x:c r="N245" s="524"/>
      <x:c r="O245" s="524"/>
    </x:row>
    <x:row r="246">
      <x:c r="A246" s="524"/>
      <x:c r="B246" s="538" t="n"/>
      <x:c r="C246" s="524"/>
      <x:c r="D246" s="524"/>
      <x:c r="E246" s="524"/>
      <x:c r="F246" s="552" t="n"/>
      <x:c r="G246" s="551" t="n"/>
      <x:c r="H246" s="551" t="str">
        <x:f>IF(OR(A246="",F246="",F246=0,G246=""),"",G246/F246)</x:f>
      </x:c>
      <x:c r="I246" s="553" t="str">
        <x:f>IF(OR(A246="",F246=""),"",F246*1000)</x:f>
      </x:c>
      <x:c r="J246" s="553" t="n"/>
      <x:c r="K246" s="553" t="str">
        <x:f>IF(A246="","",I246-J246)</x:f>
      </x:c>
      <x:c r="L246" s="524"/>
      <x:c r="M246" s="524"/>
      <x:c r="N246" s="524"/>
      <x:c r="O246" s="524"/>
    </x:row>
    <x:row r="247">
      <x:c r="A247" s="524"/>
      <x:c r="B247" s="538" t="n"/>
      <x:c r="C247" s="524"/>
      <x:c r="D247" s="524"/>
      <x:c r="E247" s="524"/>
      <x:c r="F247" s="552" t="n"/>
      <x:c r="G247" s="551" t="n"/>
      <x:c r="H247" s="551" t="str">
        <x:f>IF(OR(A247="",F247="",F247=0,G247=""),"",G247/F247)</x:f>
      </x:c>
      <x:c r="I247" s="553" t="str">
        <x:f>IF(OR(A247="",F247=""),"",F247*1000)</x:f>
      </x:c>
      <x:c r="J247" s="553" t="n"/>
      <x:c r="K247" s="553" t="str">
        <x:f>IF(A247="","",I247-J247)</x:f>
      </x:c>
      <x:c r="L247" s="524"/>
      <x:c r="M247" s="524"/>
      <x:c r="N247" s="524"/>
      <x:c r="O247" s="524"/>
    </x:row>
    <x:row r="248">
      <x:c r="A248" s="524"/>
      <x:c r="B248" s="538" t="n"/>
      <x:c r="C248" s="524"/>
      <x:c r="D248" s="524"/>
      <x:c r="E248" s="524"/>
      <x:c r="F248" s="552" t="n"/>
      <x:c r="G248" s="551" t="n"/>
      <x:c r="H248" s="551" t="str">
        <x:f>IF(OR(A248="",F248="",F248=0,G248=""),"",G248/F248)</x:f>
      </x:c>
      <x:c r="I248" s="553" t="str">
        <x:f>IF(OR(A248="",F248=""),"",F248*1000)</x:f>
      </x:c>
      <x:c r="J248" s="553" t="n"/>
      <x:c r="K248" s="553" t="str">
        <x:f>IF(A248="","",I248-J248)</x:f>
      </x:c>
      <x:c r="L248" s="524"/>
      <x:c r="M248" s="524"/>
      <x:c r="N248" s="524"/>
      <x:c r="O248" s="524"/>
    </x:row>
    <x:row r="249">
      <x:c r="A249" s="524"/>
      <x:c r="B249" s="538" t="n"/>
      <x:c r="C249" s="524"/>
      <x:c r="D249" s="524"/>
      <x:c r="E249" s="524"/>
      <x:c r="F249" s="552" t="n"/>
      <x:c r="G249" s="551" t="n"/>
      <x:c r="H249" s="551" t="str">
        <x:f>IF(OR(A249="",F249="",F249=0,G249=""),"",G249/F249)</x:f>
      </x:c>
      <x:c r="I249" s="553" t="str">
        <x:f>IF(OR(A249="",F249=""),"",F249*1000)</x:f>
      </x:c>
      <x:c r="J249" s="553" t="n"/>
      <x:c r="K249" s="553" t="str">
        <x:f>IF(A249="","",I249-J249)</x:f>
      </x:c>
      <x:c r="L249" s="524"/>
      <x:c r="M249" s="524"/>
      <x:c r="N249" s="524"/>
      <x:c r="O249" s="524"/>
    </x:row>
    <x:row r="250">
      <x:c r="A250" s="524"/>
      <x:c r="B250" s="538" t="n"/>
      <x:c r="C250" s="524"/>
      <x:c r="D250" s="524"/>
      <x:c r="E250" s="524"/>
      <x:c r="F250" s="552" t="n"/>
      <x:c r="G250" s="551" t="n"/>
      <x:c r="H250" s="551" t="str">
        <x:f>IF(OR(A250="",F250="",F250=0,G250=""),"",G250/F250)</x:f>
      </x:c>
      <x:c r="I250" s="553" t="str">
        <x:f>IF(OR(A250="",F250=""),"",F250*1000)</x:f>
      </x:c>
      <x:c r="J250" s="553" t="n"/>
      <x:c r="K250" s="553" t="str">
        <x:f>IF(A250="","",I250-J250)</x:f>
      </x:c>
      <x:c r="L250" s="524"/>
      <x:c r="M250" s="524"/>
      <x:c r="N250" s="524"/>
      <x:c r="O250" s="524"/>
    </x:row>
    <x:row r="251">
      <x:c r="A251" s="524"/>
      <x:c r="B251" s="538" t="n"/>
      <x:c r="C251" s="524"/>
      <x:c r="D251" s="524"/>
      <x:c r="E251" s="524"/>
      <x:c r="F251" s="552" t="n"/>
      <x:c r="G251" s="551" t="n"/>
      <x:c r="H251" s="551" t="str">
        <x:f>IF(OR(A251="",F251="",F251=0,G251=""),"",G251/F251)</x:f>
      </x:c>
      <x:c r="I251" s="553" t="str">
        <x:f>IF(OR(A251="",F251=""),"",F251*1000)</x:f>
      </x:c>
      <x:c r="J251" s="553" t="n"/>
      <x:c r="K251" s="553" t="str">
        <x:f>IF(A251="","",I251-J251)</x:f>
      </x:c>
      <x:c r="L251" s="524"/>
      <x:c r="M251" s="524"/>
      <x:c r="N251" s="524"/>
      <x:c r="O251" s="524"/>
    </x:row>
    <x:row r="252">
      <x:c r="A252" s="524"/>
      <x:c r="B252" s="538" t="n"/>
      <x:c r="C252" s="524"/>
      <x:c r="D252" s="524"/>
      <x:c r="E252" s="524"/>
      <x:c r="F252" s="552" t="n"/>
      <x:c r="G252" s="551" t="n"/>
      <x:c r="H252" s="551" t="str">
        <x:f>IF(OR(A252="",F252="",F252=0,G252=""),"",G252/F252)</x:f>
      </x:c>
      <x:c r="I252" s="553" t="str">
        <x:f>IF(OR(A252="",F252=""),"",F252*1000)</x:f>
      </x:c>
      <x:c r="J252" s="553" t="n"/>
      <x:c r="K252" s="553" t="str">
        <x:f>IF(A252="","",I252-J252)</x:f>
      </x:c>
      <x:c r="L252" s="524"/>
      <x:c r="M252" s="524"/>
      <x:c r="N252" s="524"/>
      <x:c r="O252" s="524"/>
    </x:row>
    <x:row r="253">
      <x:c r="A253" s="524"/>
      <x:c r="B253" s="538" t="n"/>
      <x:c r="C253" s="524"/>
      <x:c r="D253" s="524"/>
      <x:c r="E253" s="524"/>
      <x:c r="F253" s="552" t="n"/>
      <x:c r="G253" s="551" t="n"/>
      <x:c r="H253" s="551" t="str">
        <x:f>IF(OR(A253="",F253="",F253=0,G253=""),"",G253/F253)</x:f>
      </x:c>
      <x:c r="I253" s="553" t="str">
        <x:f>IF(OR(A253="",F253=""),"",F253*1000)</x:f>
      </x:c>
      <x:c r="J253" s="553" t="n"/>
      <x:c r="K253" s="553" t="str">
        <x:f>IF(A253="","",I253-J253)</x:f>
      </x:c>
      <x:c r="L253" s="524"/>
      <x:c r="M253" s="524"/>
      <x:c r="N253" s="524"/>
      <x:c r="O253" s="524"/>
    </x:row>
    <x:row r="254">
      <x:c r="A254" s="524"/>
      <x:c r="B254" s="538" t="n"/>
      <x:c r="C254" s="524"/>
      <x:c r="D254" s="524"/>
      <x:c r="E254" s="524"/>
      <x:c r="F254" s="552" t="n"/>
      <x:c r="G254" s="551" t="n"/>
      <x:c r="H254" s="551" t="str">
        <x:f>IF(OR(A254="",F254="",F254=0,G254=""),"",G254/F254)</x:f>
      </x:c>
      <x:c r="I254" s="553" t="str">
        <x:f>IF(OR(A254="",F254=""),"",F254*1000)</x:f>
      </x:c>
      <x:c r="J254" s="553" t="n"/>
      <x:c r="K254" s="553" t="str">
        <x:f>IF(A254="","",I254-J254)</x:f>
      </x:c>
      <x:c r="L254" s="524"/>
      <x:c r="M254" s="524"/>
      <x:c r="N254" s="524"/>
      <x:c r="O254" s="524"/>
    </x:row>
    <x:row r="255">
      <x:c r="A255" s="524"/>
      <x:c r="B255" s="538" t="n"/>
      <x:c r="C255" s="524"/>
      <x:c r="D255" s="524"/>
      <x:c r="E255" s="524"/>
      <x:c r="F255" s="552" t="n"/>
      <x:c r="G255" s="551" t="n"/>
      <x:c r="H255" s="551" t="str">
        <x:f>IF(OR(A255="",F255="",F255=0,G255=""),"",G255/F255)</x:f>
      </x:c>
      <x:c r="I255" s="553" t="str">
        <x:f>IF(OR(A255="",F255=""),"",F255*1000)</x:f>
      </x:c>
      <x:c r="J255" s="553" t="n"/>
      <x:c r="K255" s="553" t="str">
        <x:f>IF(A255="","",I255-J255)</x:f>
      </x:c>
      <x:c r="L255" s="524"/>
      <x:c r="M255" s="524"/>
      <x:c r="N255" s="524"/>
      <x:c r="O255" s="524"/>
    </x:row>
    <x:row r="256">
      <x:c r="A256" s="524"/>
      <x:c r="B256" s="538" t="n"/>
      <x:c r="C256" s="524"/>
      <x:c r="D256" s="524"/>
      <x:c r="E256" s="524"/>
      <x:c r="F256" s="552" t="n"/>
      <x:c r="G256" s="551" t="n"/>
      <x:c r="H256" s="551" t="str">
        <x:f>IF(OR(A256="",F256="",F256=0,G256=""),"",G256/F256)</x:f>
      </x:c>
      <x:c r="I256" s="553" t="str">
        <x:f>IF(OR(A256="",F256=""),"",F256*1000)</x:f>
      </x:c>
      <x:c r="J256" s="553" t="n"/>
      <x:c r="K256" s="553" t="str">
        <x:f>IF(A256="","",I256-J256)</x:f>
      </x:c>
      <x:c r="L256" s="524"/>
      <x:c r="M256" s="524"/>
      <x:c r="N256" s="524"/>
      <x:c r="O256" s="524"/>
    </x:row>
    <x:row r="257">
      <x:c r="A257" s="524"/>
      <x:c r="B257" s="538" t="n"/>
      <x:c r="C257" s="524"/>
      <x:c r="D257" s="524"/>
      <x:c r="E257" s="524"/>
      <x:c r="F257" s="552" t="n"/>
      <x:c r="G257" s="551" t="n"/>
      <x:c r="H257" s="551" t="str">
        <x:f>IF(OR(A257="",F257="",F257=0,G257=""),"",G257/F257)</x:f>
      </x:c>
      <x:c r="I257" s="553" t="str">
        <x:f>IF(OR(A257="",F257=""),"",F257*1000)</x:f>
      </x:c>
      <x:c r="J257" s="553" t="n"/>
      <x:c r="K257" s="553" t="str">
        <x:f>IF(A257="","",I257-J257)</x:f>
      </x:c>
      <x:c r="L257" s="524"/>
      <x:c r="M257" s="524"/>
      <x:c r="N257" s="524"/>
      <x:c r="O257" s="524"/>
    </x:row>
    <x:row r="258">
      <x:c r="A258" s="524"/>
      <x:c r="B258" s="538" t="n"/>
      <x:c r="C258" s="524"/>
      <x:c r="D258" s="524"/>
      <x:c r="E258" s="524"/>
      <x:c r="F258" s="552" t="n"/>
      <x:c r="G258" s="551" t="n"/>
      <x:c r="H258" s="551" t="str">
        <x:f>IF(OR(A258="",F258="",F258=0,G258=""),"",G258/F258)</x:f>
      </x:c>
      <x:c r="I258" s="553" t="str">
        <x:f>IF(OR(A258="",F258=""),"",F258*1000)</x:f>
      </x:c>
      <x:c r="J258" s="553" t="n"/>
      <x:c r="K258" s="553" t="str">
        <x:f>IF(A258="","",I258-J258)</x:f>
      </x:c>
      <x:c r="L258" s="524"/>
      <x:c r="M258" s="524"/>
      <x:c r="N258" s="524"/>
      <x:c r="O258" s="524"/>
    </x:row>
    <x:row r="259">
      <x:c r="A259" s="524"/>
      <x:c r="B259" s="538" t="n"/>
      <x:c r="C259" s="524"/>
      <x:c r="D259" s="524"/>
      <x:c r="E259" s="524"/>
      <x:c r="F259" s="552" t="n"/>
      <x:c r="G259" s="551" t="n"/>
      <x:c r="H259" s="551" t="str">
        <x:f>IF(OR(A259="",F259="",F259=0,G259=""),"",G259/F259)</x:f>
      </x:c>
      <x:c r="I259" s="553" t="str">
        <x:f>IF(OR(A259="",F259=""),"",F259*1000)</x:f>
      </x:c>
      <x:c r="J259" s="553" t="n"/>
      <x:c r="K259" s="553" t="str">
        <x:f>IF(A259="","",I259-J259)</x:f>
      </x:c>
      <x:c r="L259" s="524"/>
      <x:c r="M259" s="524"/>
      <x:c r="N259" s="524"/>
      <x:c r="O259" s="524"/>
    </x:row>
    <x:row r="260">
      <x:c r="A260" s="524"/>
      <x:c r="B260" s="538" t="n"/>
      <x:c r="C260" s="524"/>
      <x:c r="D260" s="524"/>
      <x:c r="E260" s="524"/>
      <x:c r="F260" s="552" t="n"/>
      <x:c r="G260" s="551" t="n"/>
      <x:c r="H260" s="551" t="str">
        <x:f>IF(OR(A260="",F260="",F260=0,G260=""),"",G260/F260)</x:f>
      </x:c>
      <x:c r="I260" s="553" t="str">
        <x:f>IF(OR(A260="",F260=""),"",F260*1000)</x:f>
      </x:c>
      <x:c r="J260" s="553" t="n"/>
      <x:c r="K260" s="553" t="str">
        <x:f>IF(A260="","",I260-J260)</x:f>
      </x:c>
      <x:c r="L260" s="524"/>
      <x:c r="M260" s="524"/>
      <x:c r="N260" s="524"/>
      <x:c r="O260" s="524"/>
    </x:row>
    <x:row r="261">
      <x:c r="A261" s="524"/>
      <x:c r="B261" s="538" t="n"/>
      <x:c r="C261" s="524"/>
      <x:c r="D261" s="524"/>
      <x:c r="E261" s="524"/>
      <x:c r="F261" s="552" t="n"/>
      <x:c r="G261" s="551" t="n"/>
      <x:c r="H261" s="551" t="str">
        <x:f>IF(OR(A261="",F261="",F261=0,G261=""),"",G261/F261)</x:f>
      </x:c>
      <x:c r="I261" s="553" t="str">
        <x:f>IF(OR(A261="",F261=""),"",F261*1000)</x:f>
      </x:c>
      <x:c r="J261" s="553" t="n"/>
      <x:c r="K261" s="553" t="str">
        <x:f>IF(A261="","",I261-J261)</x:f>
      </x:c>
      <x:c r="L261" s="524"/>
      <x:c r="M261" s="524"/>
      <x:c r="N261" s="524"/>
      <x:c r="O261" s="524"/>
    </x:row>
    <x:row r="262">
      <x:c r="A262" s="524"/>
      <x:c r="B262" s="538" t="n"/>
      <x:c r="C262" s="524"/>
      <x:c r="D262" s="524"/>
      <x:c r="E262" s="524"/>
      <x:c r="F262" s="552" t="n"/>
      <x:c r="G262" s="551" t="n"/>
      <x:c r="H262" s="551" t="str">
        <x:f>IF(OR(A262="",F262="",F262=0,G262=""),"",G262/F262)</x:f>
      </x:c>
      <x:c r="I262" s="553" t="str">
        <x:f>IF(OR(A262="",F262=""),"",F262*1000)</x:f>
      </x:c>
      <x:c r="J262" s="553" t="n"/>
      <x:c r="K262" s="553" t="str">
        <x:f>IF(A262="","",I262-J262)</x:f>
      </x:c>
      <x:c r="L262" s="524"/>
      <x:c r="M262" s="524"/>
      <x:c r="N262" s="524"/>
      <x:c r="O262" s="524"/>
    </x:row>
    <x:row r="263">
      <x:c r="A263" s="524"/>
      <x:c r="B263" s="538" t="n"/>
      <x:c r="C263" s="524"/>
      <x:c r="D263" s="524"/>
      <x:c r="E263" s="524"/>
      <x:c r="F263" s="552" t="n"/>
      <x:c r="G263" s="551" t="n"/>
      <x:c r="H263" s="551" t="str">
        <x:f>IF(OR(A263="",F263="",F263=0,G263=""),"",G263/F263)</x:f>
      </x:c>
      <x:c r="I263" s="553" t="str">
        <x:f>IF(OR(A263="",F263=""),"",F263*1000)</x:f>
      </x:c>
      <x:c r="J263" s="553" t="n"/>
      <x:c r="K263" s="553" t="str">
        <x:f>IF(A263="","",I263-J263)</x:f>
      </x:c>
      <x:c r="L263" s="524"/>
      <x:c r="M263" s="524"/>
      <x:c r="N263" s="524"/>
      <x:c r="O263" s="524"/>
    </x:row>
    <x:row r="264">
      <x:c r="A264" s="524"/>
      <x:c r="B264" s="538" t="n"/>
      <x:c r="C264" s="524"/>
      <x:c r="D264" s="524"/>
      <x:c r="E264" s="524"/>
      <x:c r="F264" s="552" t="n"/>
      <x:c r="G264" s="551" t="n"/>
      <x:c r="H264" s="551" t="str">
        <x:f>IF(OR(A264="",F264="",F264=0,G264=""),"",G264/F264)</x:f>
      </x:c>
      <x:c r="I264" s="553" t="str">
        <x:f>IF(OR(A264="",F264=""),"",F264*1000)</x:f>
      </x:c>
      <x:c r="J264" s="553" t="n"/>
      <x:c r="K264" s="553" t="str">
        <x:f>IF(A264="","",I264-J264)</x:f>
      </x:c>
      <x:c r="L264" s="524"/>
      <x:c r="M264" s="524"/>
      <x:c r="N264" s="524"/>
      <x:c r="O264" s="524"/>
    </x:row>
    <x:row r="265">
      <x:c r="A265" s="524"/>
      <x:c r="B265" s="538" t="n"/>
      <x:c r="C265" s="524"/>
      <x:c r="D265" s="524"/>
      <x:c r="E265" s="524"/>
      <x:c r="F265" s="552" t="n"/>
      <x:c r="G265" s="551" t="n"/>
      <x:c r="H265" s="551" t="str">
        <x:f>IF(OR(A265="",F265="",F265=0,G265=""),"",G265/F265)</x:f>
      </x:c>
      <x:c r="I265" s="553" t="str">
        <x:f>IF(OR(A265="",F265=""),"",F265*1000)</x:f>
      </x:c>
      <x:c r="J265" s="553" t="n"/>
      <x:c r="K265" s="553" t="str">
        <x:f>IF(A265="","",I265-J265)</x:f>
      </x:c>
      <x:c r="L265" s="524"/>
      <x:c r="M265" s="524"/>
      <x:c r="N265" s="524"/>
      <x:c r="O265" s="524"/>
    </x:row>
    <x:row r="266">
      <x:c r="A266" s="524"/>
      <x:c r="B266" s="538" t="n"/>
      <x:c r="C266" s="524"/>
      <x:c r="D266" s="524"/>
      <x:c r="E266" s="524"/>
      <x:c r="F266" s="552" t="n"/>
      <x:c r="G266" s="551" t="n"/>
      <x:c r="H266" s="551" t="str">
        <x:f>IF(OR(A266="",F266="",F266=0,G266=""),"",G266/F266)</x:f>
      </x:c>
      <x:c r="I266" s="553" t="str">
        <x:f>IF(OR(A266="",F266=""),"",F266*1000)</x:f>
      </x:c>
      <x:c r="J266" s="553" t="n"/>
      <x:c r="K266" s="553" t="str">
        <x:f>IF(A266="","",I266-J266)</x:f>
      </x:c>
      <x:c r="L266" s="524"/>
      <x:c r="M266" s="524"/>
      <x:c r="N266" s="524"/>
      <x:c r="O266" s="524"/>
    </x:row>
    <x:row r="267">
      <x:c r="A267" s="524"/>
      <x:c r="B267" s="538" t="n"/>
      <x:c r="C267" s="524"/>
      <x:c r="D267" s="524"/>
      <x:c r="E267" s="524"/>
      <x:c r="F267" s="552" t="n"/>
      <x:c r="G267" s="551" t="n"/>
      <x:c r="H267" s="551" t="str">
        <x:f>IF(OR(A267="",F267="",F267=0,G267=""),"",G267/F267)</x:f>
      </x:c>
      <x:c r="I267" s="553" t="str">
        <x:f>IF(OR(A267="",F267=""),"",F267*1000)</x:f>
      </x:c>
      <x:c r="J267" s="553" t="n"/>
      <x:c r="K267" s="553" t="str">
        <x:f>IF(A267="","",I267-J267)</x:f>
      </x:c>
      <x:c r="L267" s="524"/>
      <x:c r="M267" s="524"/>
      <x:c r="N267" s="524"/>
      <x:c r="O267" s="524"/>
    </x:row>
    <x:row r="268">
      <x:c r="A268" s="524"/>
      <x:c r="B268" s="538" t="n"/>
      <x:c r="C268" s="524"/>
      <x:c r="D268" s="524"/>
      <x:c r="E268" s="524"/>
      <x:c r="F268" s="552" t="n"/>
      <x:c r="G268" s="551" t="n"/>
      <x:c r="H268" s="551" t="str">
        <x:f>IF(OR(A268="",F268="",F268=0,G268=""),"",G268/F268)</x:f>
      </x:c>
      <x:c r="I268" s="553" t="str">
        <x:f>IF(OR(A268="",F268=""),"",F268*1000)</x:f>
      </x:c>
      <x:c r="J268" s="553" t="n"/>
      <x:c r="K268" s="553" t="str">
        <x:f>IF(A268="","",I268-J268)</x:f>
      </x:c>
      <x:c r="L268" s="524"/>
      <x:c r="M268" s="524"/>
      <x:c r="N268" s="524"/>
      <x:c r="O268" s="524"/>
    </x:row>
    <x:row r="269">
      <x:c r="A269" s="524"/>
      <x:c r="B269" s="538" t="n"/>
      <x:c r="C269" s="524"/>
      <x:c r="D269" s="524"/>
      <x:c r="E269" s="524"/>
      <x:c r="F269" s="552" t="n"/>
      <x:c r="G269" s="551" t="n"/>
      <x:c r="H269" s="551" t="str">
        <x:f>IF(OR(A269="",F269="",F269=0,G269=""),"",G269/F269)</x:f>
      </x:c>
      <x:c r="I269" s="553" t="str">
        <x:f>IF(OR(A269="",F269=""),"",F269*1000)</x:f>
      </x:c>
      <x:c r="J269" s="553" t="n"/>
      <x:c r="K269" s="553" t="str">
        <x:f>IF(A269="","",I269-J269)</x:f>
      </x:c>
      <x:c r="L269" s="524"/>
      <x:c r="M269" s="524"/>
      <x:c r="N269" s="524"/>
      <x:c r="O269" s="524"/>
    </x:row>
    <x:row r="270">
      <x:c r="A270" s="524"/>
      <x:c r="B270" s="538" t="n"/>
      <x:c r="C270" s="524"/>
      <x:c r="D270" s="524"/>
      <x:c r="E270" s="524"/>
      <x:c r="F270" s="552" t="n"/>
      <x:c r="G270" s="551" t="n"/>
      <x:c r="H270" s="551" t="str">
        <x:f>IF(OR(A270="",F270="",F270=0,G270=""),"",G270/F270)</x:f>
      </x:c>
      <x:c r="I270" s="553" t="str">
        <x:f>IF(OR(A270="",F270=""),"",F270*1000)</x:f>
      </x:c>
      <x:c r="J270" s="553" t="n"/>
      <x:c r="K270" s="553" t="str">
        <x:f>IF(A270="","",I270-J270)</x:f>
      </x:c>
      <x:c r="L270" s="524"/>
      <x:c r="M270" s="524"/>
      <x:c r="N270" s="524"/>
      <x:c r="O270" s="524"/>
    </x:row>
    <x:row r="271">
      <x:c r="A271" s="524"/>
      <x:c r="B271" s="538" t="n"/>
      <x:c r="C271" s="524"/>
      <x:c r="D271" s="524"/>
      <x:c r="E271" s="524"/>
      <x:c r="F271" s="552" t="n"/>
      <x:c r="G271" s="551" t="n"/>
      <x:c r="H271" s="551" t="str">
        <x:f>IF(OR(A271="",F271="",F271=0,G271=""),"",G271/F271)</x:f>
      </x:c>
      <x:c r="I271" s="553" t="str">
        <x:f>IF(OR(A271="",F271=""),"",F271*1000)</x:f>
      </x:c>
      <x:c r="J271" s="553" t="n"/>
      <x:c r="K271" s="553" t="str">
        <x:f>IF(A271="","",I271-J271)</x:f>
      </x:c>
      <x:c r="L271" s="524"/>
      <x:c r="M271" s="524"/>
      <x:c r="N271" s="524"/>
      <x:c r="O271" s="524"/>
    </x:row>
    <x:row r="272">
      <x:c r="A272" s="524"/>
      <x:c r="B272" s="538" t="n"/>
      <x:c r="C272" s="524"/>
      <x:c r="D272" s="524"/>
      <x:c r="E272" s="524"/>
      <x:c r="F272" s="552" t="n"/>
      <x:c r="G272" s="551" t="n"/>
      <x:c r="H272" s="551" t="str">
        <x:f>IF(OR(A272="",F272="",F272=0,G272=""),"",G272/F272)</x:f>
      </x:c>
      <x:c r="I272" s="553" t="str">
        <x:f>IF(OR(A272="",F272=""),"",F272*1000)</x:f>
      </x:c>
      <x:c r="J272" s="553" t="n"/>
      <x:c r="K272" s="553" t="str">
        <x:f>IF(A272="","",I272-J272)</x:f>
      </x:c>
      <x:c r="L272" s="524"/>
      <x:c r="M272" s="524"/>
      <x:c r="N272" s="524"/>
      <x:c r="O272" s="524"/>
    </x:row>
    <x:row r="273">
      <x:c r="A273" s="524"/>
      <x:c r="B273" s="538" t="n"/>
      <x:c r="C273" s="524"/>
      <x:c r="D273" s="524"/>
      <x:c r="E273" s="524"/>
      <x:c r="F273" s="552" t="n"/>
      <x:c r="G273" s="551" t="n"/>
      <x:c r="H273" s="551" t="str">
        <x:f>IF(OR(A273="",F273="",F273=0,G273=""),"",G273/F273)</x:f>
      </x:c>
      <x:c r="I273" s="553" t="str">
        <x:f>IF(OR(A273="",F273=""),"",F273*1000)</x:f>
      </x:c>
      <x:c r="J273" s="553" t="n"/>
      <x:c r="K273" s="553" t="str">
        <x:f>IF(A273="","",I273-J273)</x:f>
      </x:c>
      <x:c r="L273" s="524"/>
      <x:c r="M273" s="524"/>
      <x:c r="N273" s="524"/>
      <x:c r="O273" s="524"/>
    </x:row>
    <x:row r="274">
      <x:c r="A274" s="524"/>
      <x:c r="B274" s="538" t="n"/>
      <x:c r="C274" s="524"/>
      <x:c r="D274" s="524"/>
      <x:c r="E274" s="524"/>
      <x:c r="F274" s="552" t="n"/>
      <x:c r="G274" s="551" t="n"/>
      <x:c r="H274" s="551" t="str">
        <x:f>IF(OR(A274="",F274="",F274=0,G274=""),"",G274/F274)</x:f>
      </x:c>
      <x:c r="I274" s="553" t="str">
        <x:f>IF(OR(A274="",F274=""),"",F274*1000)</x:f>
      </x:c>
      <x:c r="J274" s="553" t="n"/>
      <x:c r="K274" s="553" t="str">
        <x:f>IF(A274="","",I274-J274)</x:f>
      </x:c>
      <x:c r="L274" s="524"/>
      <x:c r="M274" s="524"/>
      <x:c r="N274" s="524"/>
      <x:c r="O274" s="524"/>
    </x:row>
    <x:row r="275">
      <x:c r="A275" s="524"/>
      <x:c r="B275" s="538" t="n"/>
      <x:c r="C275" s="524"/>
      <x:c r="D275" s="524"/>
      <x:c r="E275" s="524"/>
      <x:c r="F275" s="552" t="n"/>
      <x:c r="G275" s="551" t="n"/>
      <x:c r="H275" s="551" t="str">
        <x:f>IF(OR(A275="",F275="",F275=0,G275=""),"",G275/F275)</x:f>
      </x:c>
      <x:c r="I275" s="553" t="str">
        <x:f>IF(OR(A275="",F275=""),"",F275*1000)</x:f>
      </x:c>
      <x:c r="J275" s="553" t="n"/>
      <x:c r="K275" s="553" t="str">
        <x:f>IF(A275="","",I275-J275)</x:f>
      </x:c>
      <x:c r="L275" s="524"/>
      <x:c r="M275" s="524"/>
      <x:c r="N275" s="524"/>
      <x:c r="O275" s="524"/>
    </x:row>
    <x:row r="276">
      <x:c r="A276" s="524"/>
      <x:c r="B276" s="538" t="n"/>
      <x:c r="C276" s="524"/>
      <x:c r="D276" s="524"/>
      <x:c r="E276" s="524"/>
      <x:c r="F276" s="552" t="n"/>
      <x:c r="G276" s="551" t="n"/>
      <x:c r="H276" s="551" t="str">
        <x:f>IF(OR(A276="",F276="",F276=0,G276=""),"",G276/F276)</x:f>
      </x:c>
      <x:c r="I276" s="553" t="str">
        <x:f>IF(OR(A276="",F276=""),"",F276*1000)</x:f>
      </x:c>
      <x:c r="J276" s="553" t="n"/>
      <x:c r="K276" s="553" t="str">
        <x:f>IF(A276="","",I276-J276)</x:f>
      </x:c>
      <x:c r="L276" s="524"/>
      <x:c r="M276" s="524"/>
      <x:c r="N276" s="524"/>
      <x:c r="O276" s="524"/>
    </x:row>
    <x:row r="277">
      <x:c r="A277" s="524"/>
      <x:c r="B277" s="538" t="n"/>
      <x:c r="C277" s="524"/>
      <x:c r="D277" s="524"/>
      <x:c r="E277" s="524"/>
      <x:c r="F277" s="552" t="n"/>
      <x:c r="G277" s="551" t="n"/>
      <x:c r="H277" s="551" t="str">
        <x:f>IF(OR(A277="",F277="",F277=0,G277=""),"",G277/F277)</x:f>
      </x:c>
      <x:c r="I277" s="553" t="str">
        <x:f>IF(OR(A277="",F277=""),"",F277*1000)</x:f>
      </x:c>
      <x:c r="J277" s="553" t="n"/>
      <x:c r="K277" s="553" t="str">
        <x:f>IF(A277="","",I277-J277)</x:f>
      </x:c>
      <x:c r="L277" s="524"/>
      <x:c r="M277" s="524"/>
      <x:c r="N277" s="524"/>
      <x:c r="O277" s="524"/>
    </x:row>
    <x:row r="278">
      <x:c r="A278" s="524"/>
      <x:c r="B278" s="538" t="n"/>
      <x:c r="C278" s="524"/>
      <x:c r="D278" s="524"/>
      <x:c r="E278" s="524"/>
      <x:c r="F278" s="552" t="n"/>
      <x:c r="G278" s="551" t="n"/>
      <x:c r="H278" s="551" t="str">
        <x:f>IF(OR(A278="",F278="",F278=0,G278=""),"",G278/F278)</x:f>
      </x:c>
      <x:c r="I278" s="553" t="str">
        <x:f>IF(OR(A278="",F278=""),"",F278*1000)</x:f>
      </x:c>
      <x:c r="J278" s="553" t="n"/>
      <x:c r="K278" s="553" t="str">
        <x:f>IF(A278="","",I278-J278)</x:f>
      </x:c>
      <x:c r="L278" s="524"/>
      <x:c r="M278" s="524"/>
      <x:c r="N278" s="524"/>
      <x:c r="O278" s="524"/>
    </x:row>
    <x:row r="279">
      <x:c r="A279" s="524"/>
      <x:c r="B279" s="538" t="n"/>
      <x:c r="C279" s="524"/>
      <x:c r="D279" s="524"/>
      <x:c r="E279" s="524"/>
      <x:c r="F279" s="552" t="n"/>
      <x:c r="G279" s="551" t="n"/>
      <x:c r="H279" s="551" t="str">
        <x:f>IF(OR(A279="",F279="",F279=0,G279=""),"",G279/F279)</x:f>
      </x:c>
      <x:c r="I279" s="553" t="str">
        <x:f>IF(OR(A279="",F279=""),"",F279*1000)</x:f>
      </x:c>
      <x:c r="J279" s="553" t="n"/>
      <x:c r="K279" s="553" t="str">
        <x:f>IF(A279="","",I279-J279)</x:f>
      </x:c>
      <x:c r="L279" s="524"/>
      <x:c r="M279" s="524"/>
      <x:c r="N279" s="524"/>
      <x:c r="O279" s="524"/>
    </x:row>
    <x:row r="280">
      <x:c r="A280" s="524"/>
      <x:c r="B280" s="538" t="n"/>
      <x:c r="C280" s="524"/>
      <x:c r="D280" s="524"/>
      <x:c r="E280" s="524"/>
      <x:c r="F280" s="552" t="n"/>
      <x:c r="G280" s="551" t="n"/>
      <x:c r="H280" s="551" t="str">
        <x:f>IF(OR(A280="",F280="",F280=0,G280=""),"",G280/F280)</x:f>
      </x:c>
      <x:c r="I280" s="553" t="str">
        <x:f>IF(OR(A280="",F280=""),"",F280*1000)</x:f>
      </x:c>
      <x:c r="J280" s="553" t="n"/>
      <x:c r="K280" s="553" t="str">
        <x:f>IF(A280="","",I280-J280)</x:f>
      </x:c>
      <x:c r="L280" s="524"/>
      <x:c r="M280" s="524"/>
      <x:c r="N280" s="524"/>
      <x:c r="O280" s="524"/>
    </x:row>
    <x:row r="281">
      <x:c r="A281" s="524"/>
      <x:c r="B281" s="538" t="n"/>
      <x:c r="C281" s="524"/>
      <x:c r="D281" s="524"/>
      <x:c r="E281" s="524"/>
      <x:c r="F281" s="552" t="n"/>
      <x:c r="G281" s="551" t="n"/>
      <x:c r="H281" s="551" t="str">
        <x:f>IF(OR(A281="",F281="",F281=0,G281=""),"",G281/F281)</x:f>
      </x:c>
      <x:c r="I281" s="553" t="str">
        <x:f>IF(OR(A281="",F281=""),"",F281*1000)</x:f>
      </x:c>
      <x:c r="J281" s="553" t="n"/>
      <x:c r="K281" s="553" t="str">
        <x:f>IF(A281="","",I281-J281)</x:f>
      </x:c>
      <x:c r="L281" s="524"/>
      <x:c r="M281" s="524"/>
      <x:c r="N281" s="524"/>
      <x:c r="O281" s="524"/>
    </x:row>
    <x:row r="282">
      <x:c r="A282" s="524"/>
      <x:c r="B282" s="538" t="n"/>
      <x:c r="C282" s="524"/>
      <x:c r="D282" s="524"/>
      <x:c r="E282" s="524"/>
      <x:c r="F282" s="552" t="n"/>
      <x:c r="G282" s="551" t="n"/>
      <x:c r="H282" s="551" t="str">
        <x:f>IF(OR(A282="",F282="",F282=0,G282=""),"",G282/F282)</x:f>
      </x:c>
      <x:c r="I282" s="553" t="str">
        <x:f>IF(OR(A282="",F282=""),"",F282*1000)</x:f>
      </x:c>
      <x:c r="J282" s="553" t="n"/>
      <x:c r="K282" s="553" t="str">
        <x:f>IF(A282="","",I282-J282)</x:f>
      </x:c>
      <x:c r="L282" s="524"/>
      <x:c r="M282" s="524"/>
      <x:c r="N282" s="524"/>
      <x:c r="O282" s="524"/>
    </x:row>
    <x:row r="283">
      <x:c r="A283" s="524"/>
      <x:c r="B283" s="538" t="n"/>
      <x:c r="C283" s="524"/>
      <x:c r="D283" s="524"/>
      <x:c r="E283" s="524"/>
      <x:c r="F283" s="552" t="n"/>
      <x:c r="G283" s="551" t="n"/>
      <x:c r="H283" s="551" t="str">
        <x:f>IF(OR(A283="",F283="",F283=0,G283=""),"",G283/F283)</x:f>
      </x:c>
      <x:c r="I283" s="553" t="str">
        <x:f>IF(OR(A283="",F283=""),"",F283*1000)</x:f>
      </x:c>
      <x:c r="J283" s="553" t="n"/>
      <x:c r="K283" s="553" t="str">
        <x:f>IF(A283="","",I283-J283)</x:f>
      </x:c>
      <x:c r="L283" s="524"/>
      <x:c r="M283" s="524"/>
      <x:c r="N283" s="524"/>
      <x:c r="O283" s="524"/>
    </x:row>
    <x:row r="284">
      <x:c r="A284" s="524"/>
      <x:c r="B284" s="538" t="n"/>
      <x:c r="C284" s="524"/>
      <x:c r="D284" s="524"/>
      <x:c r="E284" s="524"/>
      <x:c r="F284" s="552" t="n"/>
      <x:c r="G284" s="551" t="n"/>
      <x:c r="H284" s="551" t="str">
        <x:f>IF(OR(A284="",F284="",F284=0,G284=""),"",G284/F284)</x:f>
      </x:c>
      <x:c r="I284" s="553" t="str">
        <x:f>IF(OR(A284="",F284=""),"",F284*1000)</x:f>
      </x:c>
      <x:c r="J284" s="553" t="n"/>
      <x:c r="K284" s="553" t="str">
        <x:f>IF(A284="","",I284-J284)</x:f>
      </x:c>
      <x:c r="L284" s="524"/>
      <x:c r="M284" s="524"/>
      <x:c r="N284" s="524"/>
      <x:c r="O284" s="524"/>
    </x:row>
    <x:row r="285">
      <x:c r="A285" s="524"/>
      <x:c r="B285" s="538" t="n"/>
      <x:c r="C285" s="524"/>
      <x:c r="D285" s="524"/>
      <x:c r="E285" s="524"/>
      <x:c r="F285" s="552" t="n"/>
      <x:c r="G285" s="551" t="n"/>
      <x:c r="H285" s="551" t="str">
        <x:f>IF(OR(A285="",F285="",F285=0,G285=""),"",G285/F285)</x:f>
      </x:c>
      <x:c r="I285" s="553" t="str">
        <x:f>IF(OR(A285="",F285=""),"",F285*1000)</x:f>
      </x:c>
      <x:c r="J285" s="553" t="n"/>
      <x:c r="K285" s="553" t="str">
        <x:f>IF(A285="","",I285-J285)</x:f>
      </x:c>
      <x:c r="L285" s="524"/>
      <x:c r="M285" s="524"/>
      <x:c r="N285" s="524"/>
      <x:c r="O285" s="524"/>
    </x:row>
    <x:row r="286">
      <x:c r="A286" s="524"/>
      <x:c r="B286" s="538" t="n"/>
      <x:c r="C286" s="524"/>
      <x:c r="D286" s="524"/>
      <x:c r="E286" s="524"/>
      <x:c r="F286" s="552" t="n"/>
      <x:c r="G286" s="551" t="n"/>
      <x:c r="H286" s="551" t="str">
        <x:f>IF(OR(A286="",F286="",F286=0,G286=""),"",G286/F286)</x:f>
      </x:c>
      <x:c r="I286" s="553" t="str">
        <x:f>IF(OR(A286="",F286=""),"",F286*1000)</x:f>
      </x:c>
      <x:c r="J286" s="553" t="n"/>
      <x:c r="K286" s="553" t="str">
        <x:f>IF(A286="","",I286-J286)</x:f>
      </x:c>
      <x:c r="L286" s="524"/>
      <x:c r="M286" s="524"/>
      <x:c r="N286" s="524"/>
      <x:c r="O286" s="524"/>
    </x:row>
    <x:row r="287">
      <x:c r="A287" s="524"/>
      <x:c r="B287" s="538" t="n"/>
      <x:c r="C287" s="524"/>
      <x:c r="D287" s="524"/>
      <x:c r="E287" s="524"/>
      <x:c r="F287" s="552" t="n"/>
      <x:c r="G287" s="551" t="n"/>
      <x:c r="H287" s="551" t="str">
        <x:f>IF(OR(A287="",F287="",F287=0,G287=""),"",G287/F287)</x:f>
      </x:c>
      <x:c r="I287" s="553" t="str">
        <x:f>IF(OR(A287="",F287=""),"",F287*1000)</x:f>
      </x:c>
      <x:c r="J287" s="553" t="n"/>
      <x:c r="K287" s="553" t="str">
        <x:f>IF(A287="","",I287-J287)</x:f>
      </x:c>
      <x:c r="L287" s="524"/>
      <x:c r="M287" s="524"/>
      <x:c r="N287" s="524"/>
      <x:c r="O287" s="524"/>
    </x:row>
    <x:row r="288">
      <x:c r="A288" s="524"/>
      <x:c r="B288" s="538" t="n"/>
      <x:c r="C288" s="524"/>
      <x:c r="D288" s="524"/>
      <x:c r="E288" s="524"/>
      <x:c r="F288" s="552" t="n"/>
      <x:c r="G288" s="551" t="n"/>
      <x:c r="H288" s="551" t="str">
        <x:f>IF(OR(A288="",F288="",F288=0,G288=""),"",G288/F288)</x:f>
      </x:c>
      <x:c r="I288" s="553" t="str">
        <x:f>IF(OR(A288="",F288=""),"",F288*1000)</x:f>
      </x:c>
      <x:c r="J288" s="553" t="n"/>
      <x:c r="K288" s="553" t="str">
        <x:f>IF(A288="","",I288-J288)</x:f>
      </x:c>
      <x:c r="L288" s="524"/>
      <x:c r="M288" s="524"/>
      <x:c r="N288" s="524"/>
      <x:c r="O288" s="524"/>
    </x:row>
    <x:row r="289">
      <x:c r="A289" s="524"/>
      <x:c r="B289" s="538" t="n"/>
      <x:c r="C289" s="524"/>
      <x:c r="D289" s="524"/>
      <x:c r="E289" s="524"/>
      <x:c r="F289" s="552" t="n"/>
      <x:c r="G289" s="551" t="n"/>
      <x:c r="H289" s="551" t="str">
        <x:f>IF(OR(A289="",F289="",F289=0,G289=""),"",G289/F289)</x:f>
      </x:c>
      <x:c r="I289" s="553" t="str">
        <x:f>IF(OR(A289="",F289=""),"",F289*1000)</x:f>
      </x:c>
      <x:c r="J289" s="553" t="n"/>
      <x:c r="K289" s="553" t="str">
        <x:f>IF(A289="","",I289-J289)</x:f>
      </x:c>
      <x:c r="L289" s="524"/>
      <x:c r="M289" s="524"/>
      <x:c r="N289" s="524"/>
      <x:c r="O289" s="524"/>
    </x:row>
    <x:row r="290">
      <x:c r="A290" s="524"/>
      <x:c r="B290" s="538" t="n"/>
      <x:c r="C290" s="524"/>
      <x:c r="D290" s="524"/>
      <x:c r="E290" s="524"/>
      <x:c r="F290" s="552" t="n"/>
      <x:c r="G290" s="551" t="n"/>
      <x:c r="H290" s="551" t="str">
        <x:f>IF(OR(A290="",F290="",F290=0,G290=""),"",G290/F290)</x:f>
      </x:c>
      <x:c r="I290" s="553" t="str">
        <x:f>IF(OR(A290="",F290=""),"",F290*1000)</x:f>
      </x:c>
      <x:c r="J290" s="553" t="n"/>
      <x:c r="K290" s="553" t="str">
        <x:f>IF(A290="","",I290-J290)</x:f>
      </x:c>
      <x:c r="L290" s="524"/>
      <x:c r="M290" s="524"/>
      <x:c r="N290" s="524"/>
      <x:c r="O290" s="524"/>
    </x:row>
    <x:row r="291">
      <x:c r="A291" s="524"/>
      <x:c r="B291" s="538" t="n"/>
      <x:c r="C291" s="524"/>
      <x:c r="D291" s="524"/>
      <x:c r="E291" s="524"/>
      <x:c r="F291" s="552" t="n"/>
      <x:c r="G291" s="551" t="n"/>
      <x:c r="H291" s="551" t="str">
        <x:f>IF(OR(A291="",F291="",F291=0,G291=""),"",G291/F291)</x:f>
      </x:c>
      <x:c r="I291" s="553" t="str">
        <x:f>IF(OR(A291="",F291=""),"",F291*1000)</x:f>
      </x:c>
      <x:c r="J291" s="553" t="n"/>
      <x:c r="K291" s="553" t="str">
        <x:f>IF(A291="","",I291-J291)</x:f>
      </x:c>
      <x:c r="L291" s="524"/>
      <x:c r="M291" s="524"/>
      <x:c r="N291" s="524"/>
      <x:c r="O291" s="524"/>
    </x:row>
    <x:row r="292">
      <x:c r="A292" s="524"/>
      <x:c r="B292" s="538" t="n"/>
      <x:c r="C292" s="524"/>
      <x:c r="D292" s="524"/>
      <x:c r="E292" s="524"/>
      <x:c r="F292" s="552" t="n"/>
      <x:c r="G292" s="551" t="n"/>
      <x:c r="H292" s="551" t="str">
        <x:f>IF(OR(A292="",F292="",F292=0,G292=""),"",G292/F292)</x:f>
      </x:c>
      <x:c r="I292" s="553" t="str">
        <x:f>IF(OR(A292="",F292=""),"",F292*1000)</x:f>
      </x:c>
      <x:c r="J292" s="553" t="n"/>
      <x:c r="K292" s="553" t="str">
        <x:f>IF(A292="","",I292-J292)</x:f>
      </x:c>
      <x:c r="L292" s="524"/>
      <x:c r="M292" s="524"/>
      <x:c r="N292" s="524"/>
      <x:c r="O292" s="524"/>
    </x:row>
    <x:row r="293">
      <x:c r="A293" s="524"/>
      <x:c r="B293" s="538" t="n"/>
      <x:c r="C293" s="524"/>
      <x:c r="D293" s="524"/>
      <x:c r="E293" s="524"/>
      <x:c r="F293" s="552" t="n"/>
      <x:c r="G293" s="551" t="n"/>
      <x:c r="H293" s="551" t="str">
        <x:f>IF(OR(A293="",F293="",F293=0,G293=""),"",G293/F293)</x:f>
      </x:c>
      <x:c r="I293" s="553" t="str">
        <x:f>IF(OR(A293="",F293=""),"",F293*1000)</x:f>
      </x:c>
      <x:c r="J293" s="553" t="n"/>
      <x:c r="K293" s="553" t="str">
        <x:f>IF(A293="","",I293-J293)</x:f>
      </x:c>
      <x:c r="L293" s="524"/>
      <x:c r="M293" s="524"/>
      <x:c r="N293" s="524"/>
      <x:c r="O293" s="524"/>
    </x:row>
    <x:row r="294">
      <x:c r="A294" s="524"/>
      <x:c r="B294" s="538" t="n"/>
      <x:c r="C294" s="524"/>
      <x:c r="D294" s="524"/>
      <x:c r="E294" s="524"/>
      <x:c r="F294" s="552" t="n"/>
      <x:c r="G294" s="551" t="n"/>
      <x:c r="H294" s="551" t="str">
        <x:f>IF(OR(A294="",F294="",F294=0,G294=""),"",G294/F294)</x:f>
      </x:c>
      <x:c r="I294" s="553" t="str">
        <x:f>IF(OR(A294="",F294=""),"",F294*1000)</x:f>
      </x:c>
      <x:c r="J294" s="553" t="n"/>
      <x:c r="K294" s="553" t="str">
        <x:f>IF(A294="","",I294-J294)</x:f>
      </x:c>
      <x:c r="L294" s="524"/>
      <x:c r="M294" s="524"/>
      <x:c r="N294" s="524"/>
      <x:c r="O294" s="524"/>
    </x:row>
    <x:row r="295">
      <x:c r="A295" s="524"/>
      <x:c r="B295" s="538" t="n"/>
      <x:c r="C295" s="524"/>
      <x:c r="D295" s="524"/>
      <x:c r="E295" s="524"/>
      <x:c r="F295" s="552" t="n"/>
      <x:c r="G295" s="551" t="n"/>
      <x:c r="H295" s="551" t="str">
        <x:f>IF(OR(A295="",F295="",F295=0,G295=""),"",G295/F295)</x:f>
      </x:c>
      <x:c r="I295" s="553" t="str">
        <x:f>IF(OR(A295="",F295=""),"",F295*1000)</x:f>
      </x:c>
      <x:c r="J295" s="553" t="n"/>
      <x:c r="K295" s="553" t="str">
        <x:f>IF(A295="","",I295-J295)</x:f>
      </x:c>
      <x:c r="L295" s="524"/>
      <x:c r="M295" s="524"/>
      <x:c r="N295" s="524"/>
      <x:c r="O295" s="524"/>
    </x:row>
    <x:row r="296">
      <x:c r="A296" s="524"/>
      <x:c r="B296" s="538" t="n"/>
      <x:c r="C296" s="524"/>
      <x:c r="D296" s="524"/>
      <x:c r="E296" s="524"/>
      <x:c r="F296" s="552" t="n"/>
      <x:c r="G296" s="551" t="n"/>
      <x:c r="H296" s="551" t="str">
        <x:f>IF(OR(A296="",F296="",F296=0,G296=""),"",G296/F296)</x:f>
      </x:c>
      <x:c r="I296" s="553" t="str">
        <x:f>IF(OR(A296="",F296=""),"",F296*1000)</x:f>
      </x:c>
      <x:c r="J296" s="553" t="n"/>
      <x:c r="K296" s="553" t="str">
        <x:f>IF(A296="","",I296-J296)</x:f>
      </x:c>
      <x:c r="L296" s="524"/>
      <x:c r="M296" s="524"/>
      <x:c r="N296" s="524"/>
      <x:c r="O296" s="524"/>
    </x:row>
    <x:row r="297">
      <x:c r="A297" s="524"/>
      <x:c r="B297" s="538" t="n"/>
      <x:c r="C297" s="524"/>
      <x:c r="D297" s="524"/>
      <x:c r="E297" s="524"/>
      <x:c r="F297" s="552" t="n"/>
      <x:c r="G297" s="551" t="n"/>
      <x:c r="H297" s="551" t="str">
        <x:f>IF(OR(A297="",F297="",F297=0,G297=""),"",G297/F297)</x:f>
      </x:c>
      <x:c r="I297" s="553" t="str">
        <x:f>IF(OR(A297="",F297=""),"",F297*1000)</x:f>
      </x:c>
      <x:c r="J297" s="553" t="n"/>
      <x:c r="K297" s="553" t="str">
        <x:f>IF(A297="","",I297-J297)</x:f>
      </x:c>
      <x:c r="L297" s="524"/>
      <x:c r="M297" s="524"/>
      <x:c r="N297" s="524"/>
      <x:c r="O297" s="524"/>
    </x:row>
    <x:row r="298">
      <x:c r="A298" s="524"/>
      <x:c r="B298" s="538" t="n"/>
      <x:c r="C298" s="524"/>
      <x:c r="D298" s="524"/>
      <x:c r="E298" s="524"/>
      <x:c r="F298" s="552" t="n"/>
      <x:c r="G298" s="551" t="n"/>
      <x:c r="H298" s="551" t="str">
        <x:f>IF(OR(A298="",F298="",F298=0,G298=""),"",G298/F298)</x:f>
      </x:c>
      <x:c r="I298" s="553" t="str">
        <x:f>IF(OR(A298="",F298=""),"",F298*1000)</x:f>
      </x:c>
      <x:c r="J298" s="553" t="n"/>
      <x:c r="K298" s="553" t="str">
        <x:f>IF(A298="","",I298-J298)</x:f>
      </x:c>
      <x:c r="L298" s="524"/>
      <x:c r="M298" s="524"/>
      <x:c r="N298" s="524"/>
      <x:c r="O298" s="524"/>
    </x:row>
    <x:row r="299">
      <x:c r="A299" s="524"/>
      <x:c r="B299" s="538" t="n"/>
      <x:c r="C299" s="524"/>
      <x:c r="D299" s="524"/>
      <x:c r="E299" s="524"/>
      <x:c r="F299" s="552" t="n"/>
      <x:c r="G299" s="551" t="n"/>
      <x:c r="H299" s="551" t="str">
        <x:f>IF(OR(A299="",F299="",F299=0,G299=""),"",G299/F299)</x:f>
      </x:c>
      <x:c r="I299" s="553" t="str">
        <x:f>IF(OR(A299="",F299=""),"",F299*1000)</x:f>
      </x:c>
      <x:c r="J299" s="553" t="n"/>
      <x:c r="K299" s="553" t="str">
        <x:f>IF(A299="","",I299-J299)</x:f>
      </x:c>
      <x:c r="L299" s="524"/>
      <x:c r="M299" s="524"/>
      <x:c r="N299" s="524"/>
      <x:c r="O299" s="524"/>
    </x:row>
    <x:row r="300">
      <x:c r="A300" s="524"/>
      <x:c r="B300" s="538" t="n"/>
      <x:c r="C300" s="524"/>
      <x:c r="D300" s="524"/>
      <x:c r="E300" s="524"/>
      <x:c r="F300" s="552" t="n"/>
      <x:c r="G300" s="551" t="n"/>
      <x:c r="H300" s="551" t="str">
        <x:f>IF(OR(A300="",F300="",F300=0,G300=""),"",G300/F300)</x:f>
      </x:c>
      <x:c r="I300" s="553" t="str">
        <x:f>IF(OR(A300="",F300=""),"",F300*1000)</x:f>
      </x:c>
      <x:c r="J300" s="553" t="n"/>
      <x:c r="K300" s="553" t="str">
        <x:f>IF(A300="","",I300-J300)</x:f>
      </x:c>
      <x:c r="L300" s="524"/>
      <x:c r="M300" s="524"/>
      <x:c r="N300" s="524"/>
      <x:c r="O300" s="524"/>
    </x:row>
    <x:row r="301">
      <x:c r="A301" s="524"/>
      <x:c r="B301" s="538" t="n"/>
      <x:c r="C301" s="524"/>
      <x:c r="D301" s="524"/>
      <x:c r="E301" s="524"/>
      <x:c r="F301" s="552" t="n"/>
      <x:c r="G301" s="551" t="n"/>
      <x:c r="H301" s="551" t="str">
        <x:f>IF(OR(A301="",F301="",F301=0,G301=""),"",G301/F301)</x:f>
      </x:c>
      <x:c r="I301" s="553" t="str">
        <x:f>IF(OR(A301="",F301=""),"",F301*1000)</x:f>
      </x:c>
      <x:c r="J301" s="553" t="n"/>
      <x:c r="K301" s="553" t="str">
        <x:f>IF(A301="","",I301-J301)</x:f>
      </x:c>
      <x:c r="L301" s="524"/>
      <x:c r="M301" s="524"/>
      <x:c r="N301" s="524"/>
      <x:c r="O301" s="524"/>
    </x:row>
    <x:row r="302">
      <x:c r="A302" s="524"/>
      <x:c r="B302" s="538" t="n"/>
      <x:c r="C302" s="524"/>
      <x:c r="D302" s="524"/>
      <x:c r="E302" s="524"/>
      <x:c r="F302" s="552" t="n"/>
      <x:c r="G302" s="551" t="n"/>
      <x:c r="H302" s="551" t="str">
        <x:f>IF(OR(A302="",F302="",F302=0,G302=""),"",G302/F302)</x:f>
      </x:c>
      <x:c r="I302" s="553" t="str">
        <x:f>IF(OR(A302="",F302=""),"",F302*1000)</x:f>
      </x:c>
      <x:c r="J302" s="553" t="n"/>
      <x:c r="K302" s="553" t="str">
        <x:f>IF(A302="","",I302-J302)</x:f>
      </x:c>
      <x:c r="L302" s="524"/>
      <x:c r="M302" s="524"/>
      <x:c r="N302" s="524"/>
      <x:c r="O302" s="524"/>
    </x:row>
    <x:row r="303">
      <x:c r="A303" s="524"/>
      <x:c r="B303" s="538" t="n"/>
      <x:c r="C303" s="524"/>
      <x:c r="D303" s="524"/>
      <x:c r="E303" s="524"/>
      <x:c r="F303" s="552" t="n"/>
      <x:c r="G303" s="551" t="n"/>
      <x:c r="H303" s="551" t="str">
        <x:f>IF(OR(A303="",F303="",F303=0,G303=""),"",G303/F303)</x:f>
      </x:c>
      <x:c r="I303" s="553" t="str">
        <x:f>IF(OR(A303="",F303=""),"",F303*1000)</x:f>
      </x:c>
      <x:c r="J303" s="553" t="n"/>
      <x:c r="K303" s="553" t="str">
        <x:f>IF(A303="","",I303-J303)</x:f>
      </x:c>
      <x:c r="L303" s="524"/>
      <x:c r="M303" s="524"/>
      <x:c r="N303" s="524"/>
      <x:c r="O303" s="524"/>
    </x:row>
  </x:sheetData>
  <x:mergeCells>
    <x:mergeCell ref="A1:O1"/>
  </x:mergeCells>
  <x:conditionalFormatting sqref="E4:E303">
    <x:cfRule type="expression" dxfId="7" priority="1" stopIfTrue="0">
      <x:formula>E4=""</x:formula>
    </x:cfRule>
  </x:conditionalFormatting>
  <x:dataValidations count="2">
    <x:dataValidation type="list" allowBlank="0" showDropDown="0" showInputMessage="0" showErrorMessage="0" sqref="C4:C303">
      <x:formula1>"PETG,PETG-ECO,PETG Technical,PLA,PLA+,ABS,ASA,TPU,Khác"</x:formula1>
    </x:dataValidation>
    <x:dataValidation type="list" allowBlank="1" showDropDown="0" showInputMessage="0" showErrorMessage="0" errorTitle="Hãng nhựa không hợp lệ" error="Hãy chọn hãng nhựa trong danh sách." promptTitle="Hãng nhựa" prompt="Chọn hãng nhựa của cuộn đang nhập." sqref="E4:E303">
      <x:formula1>'15_Hãng nhựa'!$A$3:$A$22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12df0ff91f420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8.130000114440918" style="14" customWidth="1"/>
    <x:col min="2" max="2" width="14.75" style="14" customWidth="1"/>
    <x:col min="3" max="3" width="13.130000114440918" style="14" customWidth="1"/>
    <x:col min="4" max="4" width="7.25" style="14" customWidth="1"/>
    <x:col min="5" max="5" width="40" style="14" customWidth="1"/>
    <x:col min="6" max="6" width="9" style="14" customWidth="1"/>
    <x:col min="7" max="7" width="13.630000114440918" style="14" customWidth="1"/>
    <x:col min="8" max="8" width="14" style="14" customWidth="1"/>
    <x:col min="9" max="9" width="10.25" style="14" customWidth="1"/>
    <x:col min="10" max="10" width="17.5" style="14" customWidth="1"/>
    <x:col min="11" max="11" width="17" style="14" customWidth="1"/>
    <x:col min="12" max="12" width="30" style="14" customWidth="1"/>
  </x:cols>
  <x:sheetData>
    <x:row r="1" s="14" customFormat="1" ht="28" customHeight="1">
      <x:c r="A1" s="548" t="inlineStr">
        <x:is>
          <x:t xml:space="preserve">SỔ KHÁCH HÀNG &amp; LỊCH SỬ GIÁ TRỊ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  <x:c r="K1" s="524" t="n"/>
      <x:c r="L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  <x:c r="K2" s="524"/>
      <x:c r="L2" s="524"/>
    </x:row>
    <x:row r="3" s="14" customFormat="1" ht="32" customHeight="1">
      <x:c r="A3" s="547" t="inlineStr">
        <x:is>
          <x:t xml:space="preserve">Mã KH</x:t>
        </x:is>
      </x:c>
      <x:c r="B3" s="547" t="inlineStr">
        <x:is>
          <x:t xml:space="preserve">Tên khách hàng</x:t>
        </x:is>
      </x:c>
      <x:c r="C3" s="547" t="inlineStr">
        <x:is>
          <x:t xml:space="preserve">Số điện thoại</x:t>
        </x:is>
      </x:c>
      <x:c r="D3" s="547" t="inlineStr">
        <x:is>
          <x:t xml:space="preserve">Email</x:t>
        </x:is>
      </x:c>
      <x:c r="E3" s="547" t="inlineStr">
        <x:is>
          <x:t xml:space="preserve">Địa chỉ</x:t>
        </x:is>
      </x:c>
      <x:c r="F3" s="547" t="inlineStr">
        <x:is>
          <x:t xml:space="preserve">Tỉnh/TP</x:t>
        </x:is>
      </x:c>
      <x:c r="G3" s="547" t="inlineStr">
        <x:is>
          <x:t xml:space="preserve">Kênh đầu tiên</x:t>
        </x:is>
      </x:c>
      <x:c r="H3" s="547" t="inlineStr">
        <x:is>
          <x:t xml:space="preserve">Ngày đầu mua</x:t>
        </x:is>
      </x:c>
      <x:c r="I3" s="547" t="inlineStr">
        <x:is>
          <x:t xml:space="preserve">Tổng đơn</x:t>
        </x:is>
      </x:c>
      <x:c r="J3" s="547" t="inlineStr">
        <x:is>
          <x:t xml:space="preserve">Tổng doanh thu (đ)</x:t>
        </x:is>
      </x:c>
      <x:c r="K3" s="547" t="inlineStr">
        <x:is>
          <x:t xml:space="preserve">Tổng lợi nhuận (đ)</x:t>
        </x:is>
      </x:c>
      <x:c r="L3" s="547" t="inlineStr">
        <x:is>
          <x:t xml:space="preserve">Ghi chú</x:t>
        </x:is>
      </x:c>
    </x:row>
    <x:row r="4">
      <x:c r="A4" s="524"/>
      <x:c r="B4" s="524"/>
      <x:c r="C4" s="524"/>
      <x:c r="D4" s="524"/>
      <x:c r="E4" s="524"/>
      <x:c r="F4" s="524"/>
      <x:c r="G4" s="524"/>
      <x:c r="H4" s="538" t="n"/>
      <x:c r="I4" s="524" t="str">
        <x:f>IF(A4="","",COUNTIF('7_Đơn hàng'!$G$4:$G$303,A4))</x:f>
      </x:c>
      <x:c r="J4" s="551" t="str">
        <x:f>IF(A4="","",SUMIF('7_Đơn hàng'!$G$4:$G$303,A4,'7_Đơn hàng'!$J$4:$J$303))</x:f>
      </x:c>
      <x:c r="K4" s="551" t="str">
        <x:f>IF(A4="","",SUMIF('7_Đơn hàng'!$G$4:$G$303,A4,'7_Đơn hàng'!$T$4:$T$303))</x:f>
      </x:c>
      <x:c r="L4" s="524"/>
    </x:row>
    <x:row r="5">
      <x:c r="A5" s="524"/>
      <x:c r="B5" s="524"/>
      <x:c r="C5" s="524"/>
      <x:c r="D5" s="524"/>
      <x:c r="E5" s="524"/>
      <x:c r="F5" s="524"/>
      <x:c r="G5" s="524"/>
      <x:c r="H5" s="538" t="n"/>
      <x:c r="I5" s="524" t="str">
        <x:f>IF(A5="","",COUNTIF('7_Đơn hàng'!$G$4:$G$303,A5))</x:f>
      </x:c>
      <x:c r="J5" s="551" t="str">
        <x:f>IF(A5="","",SUMIF('7_Đơn hàng'!$G$4:$G$303,A5,'7_Đơn hàng'!$J$4:$J$303))</x:f>
      </x:c>
      <x:c r="K5" s="551" t="str">
        <x:f>IF(A5="","",SUMIF('7_Đơn hàng'!$G$4:$G$303,A5,'7_Đơn hàng'!$T$4:$T$303))</x:f>
      </x:c>
      <x:c r="L5" s="524"/>
    </x:row>
    <x:row r="6">
      <x:c r="A6" s="524"/>
      <x:c r="B6" s="524"/>
      <x:c r="C6" s="524"/>
      <x:c r="D6" s="524"/>
      <x:c r="E6" s="524"/>
      <x:c r="F6" s="524"/>
      <x:c r="G6" s="524"/>
      <x:c r="H6" s="538" t="n"/>
      <x:c r="I6" s="524" t="str">
        <x:f>IF(A6="","",COUNTIF('7_Đơn hàng'!$G$4:$G$303,A6))</x:f>
      </x:c>
      <x:c r="J6" s="551" t="str">
        <x:f>IF(A6="","",SUMIF('7_Đơn hàng'!$G$4:$G$303,A6,'7_Đơn hàng'!$J$4:$J$303))</x:f>
      </x:c>
      <x:c r="K6" s="551" t="str">
        <x:f>IF(A6="","",SUMIF('7_Đơn hàng'!$G$4:$G$303,A6,'7_Đơn hàng'!$T$4:$T$303))</x:f>
      </x:c>
      <x:c r="L6" s="524"/>
    </x:row>
    <x:row r="7">
      <x:c r="A7" s="524"/>
      <x:c r="B7" s="524"/>
      <x:c r="C7" s="524"/>
      <x:c r="D7" s="524"/>
      <x:c r="E7" s="524"/>
      <x:c r="F7" s="524"/>
      <x:c r="G7" s="524"/>
      <x:c r="H7" s="538" t="n"/>
      <x:c r="I7" s="524" t="str">
        <x:f>IF(A7="","",COUNTIF('7_Đơn hàng'!$G$4:$G$303,A7))</x:f>
      </x:c>
      <x:c r="J7" s="551" t="str">
        <x:f>IF(A7="","",SUMIF('7_Đơn hàng'!$G$4:$G$303,A7,'7_Đơn hàng'!$J$4:$J$303))</x:f>
      </x:c>
      <x:c r="K7" s="551" t="str">
        <x:f>IF(A7="","",SUMIF('7_Đơn hàng'!$G$4:$G$303,A7,'7_Đơn hàng'!$T$4:$T$303))</x:f>
      </x:c>
      <x:c r="L7" s="524"/>
    </x:row>
    <x:row r="8">
      <x:c r="A8" s="524"/>
      <x:c r="B8" s="524"/>
      <x:c r="C8" s="524"/>
      <x:c r="D8" s="524"/>
      <x:c r="E8" s="524"/>
      <x:c r="F8" s="524"/>
      <x:c r="G8" s="524"/>
      <x:c r="H8" s="538" t="n"/>
      <x:c r="I8" s="524" t="str">
        <x:f>IF(A8="","",COUNTIF('7_Đơn hàng'!$G$4:$G$303,A8))</x:f>
      </x:c>
      <x:c r="J8" s="551" t="str">
        <x:f>IF(A8="","",SUMIF('7_Đơn hàng'!$G$4:$G$303,A8,'7_Đơn hàng'!$J$4:$J$303))</x:f>
      </x:c>
      <x:c r="K8" s="551" t="str">
        <x:f>IF(A8="","",SUMIF('7_Đơn hàng'!$G$4:$G$303,A8,'7_Đơn hàng'!$T$4:$T$303))</x:f>
      </x:c>
      <x:c r="L8" s="524"/>
    </x:row>
    <x:row r="9">
      <x:c r="A9" s="524"/>
      <x:c r="B9" s="524"/>
      <x:c r="C9" s="524"/>
      <x:c r="D9" s="524"/>
      <x:c r="E9" s="524"/>
      <x:c r="F9" s="524"/>
      <x:c r="G9" s="524"/>
      <x:c r="H9" s="538" t="n"/>
      <x:c r="I9" s="524" t="str">
        <x:f>IF(A9="","",COUNTIF('7_Đơn hàng'!$G$4:$G$303,A9))</x:f>
      </x:c>
      <x:c r="J9" s="551" t="str">
        <x:f>IF(A9="","",SUMIF('7_Đơn hàng'!$G$4:$G$303,A9,'7_Đơn hàng'!$J$4:$J$303))</x:f>
      </x:c>
      <x:c r="K9" s="551" t="str">
        <x:f>IF(A9="","",SUMIF('7_Đơn hàng'!$G$4:$G$303,A9,'7_Đơn hàng'!$T$4:$T$303))</x:f>
      </x:c>
      <x:c r="L9" s="524"/>
    </x:row>
    <x:row r="10">
      <x:c r="A10" s="524"/>
      <x:c r="B10" s="524"/>
      <x:c r="C10" s="524"/>
      <x:c r="D10" s="524"/>
      <x:c r="E10" s="524"/>
      <x:c r="F10" s="524"/>
      <x:c r="G10" s="524"/>
      <x:c r="H10" s="538" t="n"/>
      <x:c r="I10" s="524" t="str">
        <x:f>IF(A10="","",COUNTIF('7_Đơn hàng'!$G$4:$G$303,A10))</x:f>
      </x:c>
      <x:c r="J10" s="551" t="str">
        <x:f>IF(A10="","",SUMIF('7_Đơn hàng'!$G$4:$G$303,A10,'7_Đơn hàng'!$J$4:$J$303))</x:f>
      </x:c>
      <x:c r="K10" s="551" t="str">
        <x:f>IF(A10="","",SUMIF('7_Đơn hàng'!$G$4:$G$303,A10,'7_Đơn hàng'!$T$4:$T$303))</x:f>
      </x:c>
      <x:c r="L10" s="524"/>
    </x:row>
    <x:row r="11">
      <x:c r="A11" s="524"/>
      <x:c r="B11" s="524"/>
      <x:c r="C11" s="524"/>
      <x:c r="D11" s="524"/>
      <x:c r="E11" s="524"/>
      <x:c r="F11" s="524"/>
      <x:c r="G11" s="524"/>
      <x:c r="H11" s="538" t="n"/>
      <x:c r="I11" s="524" t="str">
        <x:f>IF(A11="","",COUNTIF('7_Đơn hàng'!$G$4:$G$303,A11))</x:f>
      </x:c>
      <x:c r="J11" s="551" t="str">
        <x:f>IF(A11="","",SUMIF('7_Đơn hàng'!$G$4:$G$303,A11,'7_Đơn hàng'!$J$4:$J$303))</x:f>
      </x:c>
      <x:c r="K11" s="551" t="str">
        <x:f>IF(A11="","",SUMIF('7_Đơn hàng'!$G$4:$G$303,A11,'7_Đơn hàng'!$T$4:$T$303))</x:f>
      </x:c>
      <x:c r="L11" s="524"/>
    </x:row>
    <x:row r="12">
      <x:c r="A12" s="524"/>
      <x:c r="B12" s="524"/>
      <x:c r="C12" s="524"/>
      <x:c r="D12" s="524"/>
      <x:c r="E12" s="524"/>
      <x:c r="F12" s="524"/>
      <x:c r="G12" s="524"/>
      <x:c r="H12" s="538" t="n"/>
      <x:c r="I12" s="524" t="str">
        <x:f>IF(A12="","",COUNTIF('7_Đơn hàng'!$G$4:$G$303,A12))</x:f>
      </x:c>
      <x:c r="J12" s="551" t="str">
        <x:f>IF(A12="","",SUMIF('7_Đơn hàng'!$G$4:$G$303,A12,'7_Đơn hàng'!$J$4:$J$303))</x:f>
      </x:c>
      <x:c r="K12" s="551" t="str">
        <x:f>IF(A12="","",SUMIF('7_Đơn hàng'!$G$4:$G$303,A12,'7_Đơn hàng'!$T$4:$T$303))</x:f>
      </x:c>
      <x:c r="L12" s="524"/>
    </x:row>
    <x:row r="13">
      <x:c r="A13" s="524"/>
      <x:c r="B13" s="524"/>
      <x:c r="C13" s="524"/>
      <x:c r="D13" s="524"/>
      <x:c r="E13" s="524"/>
      <x:c r="F13" s="524"/>
      <x:c r="G13" s="524"/>
      <x:c r="H13" s="538" t="n"/>
      <x:c r="I13" s="524" t="str">
        <x:f>IF(A13="","",COUNTIF('7_Đơn hàng'!$G$4:$G$303,A13))</x:f>
      </x:c>
      <x:c r="J13" s="551" t="str">
        <x:f>IF(A13="","",SUMIF('7_Đơn hàng'!$G$4:$G$303,A13,'7_Đơn hàng'!$J$4:$J$303))</x:f>
      </x:c>
      <x:c r="K13" s="551" t="str">
        <x:f>IF(A13="","",SUMIF('7_Đơn hàng'!$G$4:$G$303,A13,'7_Đơn hàng'!$T$4:$T$303))</x:f>
      </x:c>
      <x:c r="L13" s="524"/>
    </x:row>
    <x:row r="14">
      <x:c r="A14" s="524"/>
      <x:c r="B14" s="524"/>
      <x:c r="C14" s="524"/>
      <x:c r="D14" s="524"/>
      <x:c r="E14" s="524"/>
      <x:c r="F14" s="524"/>
      <x:c r="G14" s="524"/>
      <x:c r="H14" s="538" t="n"/>
      <x:c r="I14" s="524" t="str">
        <x:f>IF(A14="","",COUNTIF('7_Đơn hàng'!$G$4:$G$303,A14))</x:f>
      </x:c>
      <x:c r="J14" s="551" t="str">
        <x:f>IF(A14="","",SUMIF('7_Đơn hàng'!$G$4:$G$303,A14,'7_Đơn hàng'!$J$4:$J$303))</x:f>
      </x:c>
      <x:c r="K14" s="551" t="str">
        <x:f>IF(A14="","",SUMIF('7_Đơn hàng'!$G$4:$G$303,A14,'7_Đơn hàng'!$T$4:$T$303))</x:f>
      </x:c>
      <x:c r="L14" s="524"/>
    </x:row>
    <x:row r="15">
      <x:c r="A15" s="524"/>
      <x:c r="B15" s="524"/>
      <x:c r="C15" s="524"/>
      <x:c r="D15" s="524"/>
      <x:c r="E15" s="524"/>
      <x:c r="F15" s="524"/>
      <x:c r="G15" s="524"/>
      <x:c r="H15" s="538" t="n"/>
      <x:c r="I15" s="524" t="str">
        <x:f>IF(A15="","",COUNTIF('7_Đơn hàng'!$G$4:$G$303,A15))</x:f>
      </x:c>
      <x:c r="J15" s="551" t="str">
        <x:f>IF(A15="","",SUMIF('7_Đơn hàng'!$G$4:$G$303,A15,'7_Đơn hàng'!$J$4:$J$303))</x:f>
      </x:c>
      <x:c r="K15" s="551" t="str">
        <x:f>IF(A15="","",SUMIF('7_Đơn hàng'!$G$4:$G$303,A15,'7_Đơn hàng'!$T$4:$T$303))</x:f>
      </x:c>
      <x:c r="L15" s="524"/>
    </x:row>
    <x:row r="16">
      <x:c r="A16" s="524"/>
      <x:c r="B16" s="524"/>
      <x:c r="C16" s="524"/>
      <x:c r="D16" s="524"/>
      <x:c r="E16" s="524"/>
      <x:c r="F16" s="524"/>
      <x:c r="G16" s="524"/>
      <x:c r="H16" s="538" t="n"/>
      <x:c r="I16" s="524" t="str">
        <x:f>IF(A16="","",COUNTIF('7_Đơn hàng'!$G$4:$G$303,A16))</x:f>
      </x:c>
      <x:c r="J16" s="551" t="str">
        <x:f>IF(A16="","",SUMIF('7_Đơn hàng'!$G$4:$G$303,A16,'7_Đơn hàng'!$J$4:$J$303))</x:f>
      </x:c>
      <x:c r="K16" s="551" t="str">
        <x:f>IF(A16="","",SUMIF('7_Đơn hàng'!$G$4:$G$303,A16,'7_Đơn hàng'!$T$4:$T$303))</x:f>
      </x:c>
      <x:c r="L16" s="524"/>
    </x:row>
    <x:row r="17">
      <x:c r="A17" s="524"/>
      <x:c r="B17" s="524"/>
      <x:c r="C17" s="524"/>
      <x:c r="D17" s="524"/>
      <x:c r="E17" s="524"/>
      <x:c r="F17" s="524"/>
      <x:c r="G17" s="524"/>
      <x:c r="H17" s="538" t="n"/>
      <x:c r="I17" s="524" t="str">
        <x:f>IF(A17="","",COUNTIF('7_Đơn hàng'!$G$4:$G$303,A17))</x:f>
      </x:c>
      <x:c r="J17" s="551" t="str">
        <x:f>IF(A17="","",SUMIF('7_Đơn hàng'!$G$4:$G$303,A17,'7_Đơn hàng'!$J$4:$J$303))</x:f>
      </x:c>
      <x:c r="K17" s="551" t="str">
        <x:f>IF(A17="","",SUMIF('7_Đơn hàng'!$G$4:$G$303,A17,'7_Đơn hàng'!$T$4:$T$303))</x:f>
      </x:c>
      <x:c r="L17" s="524"/>
    </x:row>
    <x:row r="18">
      <x:c r="A18" s="524"/>
      <x:c r="B18" s="524"/>
      <x:c r="C18" s="524"/>
      <x:c r="D18" s="524"/>
      <x:c r="E18" s="524"/>
      <x:c r="F18" s="524"/>
      <x:c r="G18" s="524"/>
      <x:c r="H18" s="538" t="n"/>
      <x:c r="I18" s="524" t="str">
        <x:f>IF(A18="","",COUNTIF('7_Đơn hàng'!$G$4:$G$303,A18))</x:f>
      </x:c>
      <x:c r="J18" s="551" t="str">
        <x:f>IF(A18="","",SUMIF('7_Đơn hàng'!$G$4:$G$303,A18,'7_Đơn hàng'!$J$4:$J$303))</x:f>
      </x:c>
      <x:c r="K18" s="551" t="str">
        <x:f>IF(A18="","",SUMIF('7_Đơn hàng'!$G$4:$G$303,A18,'7_Đơn hàng'!$T$4:$T$303))</x:f>
      </x:c>
      <x:c r="L18" s="524"/>
    </x:row>
    <x:row r="19">
      <x:c r="A19" s="524"/>
      <x:c r="B19" s="524"/>
      <x:c r="C19" s="524"/>
      <x:c r="D19" s="524"/>
      <x:c r="E19" s="524"/>
      <x:c r="F19" s="524"/>
      <x:c r="G19" s="524"/>
      <x:c r="H19" s="538" t="n"/>
      <x:c r="I19" s="524" t="str">
        <x:f>IF(A19="","",COUNTIF('7_Đơn hàng'!$G$4:$G$303,A19))</x:f>
      </x:c>
      <x:c r="J19" s="551" t="str">
        <x:f>IF(A19="","",SUMIF('7_Đơn hàng'!$G$4:$G$303,A19,'7_Đơn hàng'!$J$4:$J$303))</x:f>
      </x:c>
      <x:c r="K19" s="551" t="str">
        <x:f>IF(A19="","",SUMIF('7_Đơn hàng'!$G$4:$G$303,A19,'7_Đơn hàng'!$T$4:$T$303))</x:f>
      </x:c>
      <x:c r="L19" s="524"/>
    </x:row>
    <x:row r="20">
      <x:c r="A20" s="524"/>
      <x:c r="B20" s="524"/>
      <x:c r="C20" s="524"/>
      <x:c r="D20" s="524"/>
      <x:c r="E20" s="524"/>
      <x:c r="F20" s="524"/>
      <x:c r="G20" s="524"/>
      <x:c r="H20" s="538" t="n"/>
      <x:c r="I20" s="524" t="str">
        <x:f>IF(A20="","",COUNTIF('7_Đơn hàng'!$G$4:$G$303,A20))</x:f>
      </x:c>
      <x:c r="J20" s="551" t="str">
        <x:f>IF(A20="","",SUMIF('7_Đơn hàng'!$G$4:$G$303,A20,'7_Đơn hàng'!$J$4:$J$303))</x:f>
      </x:c>
      <x:c r="K20" s="551" t="str">
        <x:f>IF(A20="","",SUMIF('7_Đơn hàng'!$G$4:$G$303,A20,'7_Đơn hàng'!$T$4:$T$303))</x:f>
      </x:c>
      <x:c r="L20" s="524"/>
    </x:row>
    <x:row r="21">
      <x:c r="A21" s="524"/>
      <x:c r="B21" s="524"/>
      <x:c r="C21" s="524"/>
      <x:c r="D21" s="524"/>
      <x:c r="E21" s="524"/>
      <x:c r="F21" s="524"/>
      <x:c r="G21" s="524"/>
      <x:c r="H21" s="538" t="n"/>
      <x:c r="I21" s="524" t="str">
        <x:f>IF(A21="","",COUNTIF('7_Đơn hàng'!$G$4:$G$303,A21))</x:f>
      </x:c>
      <x:c r="J21" s="551" t="str">
        <x:f>IF(A21="","",SUMIF('7_Đơn hàng'!$G$4:$G$303,A21,'7_Đơn hàng'!$J$4:$J$303))</x:f>
      </x:c>
      <x:c r="K21" s="551" t="str">
        <x:f>IF(A21="","",SUMIF('7_Đơn hàng'!$G$4:$G$303,A21,'7_Đơn hàng'!$T$4:$T$303))</x:f>
      </x:c>
      <x:c r="L21" s="524"/>
    </x:row>
    <x:row r="22">
      <x:c r="A22" s="524"/>
      <x:c r="B22" s="524"/>
      <x:c r="C22" s="524"/>
      <x:c r="D22" s="524"/>
      <x:c r="E22" s="524"/>
      <x:c r="F22" s="524"/>
      <x:c r="G22" s="524"/>
      <x:c r="H22" s="538" t="n"/>
      <x:c r="I22" s="524" t="str">
        <x:f>IF(A22="","",COUNTIF('7_Đơn hàng'!$G$4:$G$303,A22))</x:f>
      </x:c>
      <x:c r="J22" s="551" t="str">
        <x:f>IF(A22="","",SUMIF('7_Đơn hàng'!$G$4:$G$303,A22,'7_Đơn hàng'!$J$4:$J$303))</x:f>
      </x:c>
      <x:c r="K22" s="551" t="str">
        <x:f>IF(A22="","",SUMIF('7_Đơn hàng'!$G$4:$G$303,A22,'7_Đơn hàng'!$T$4:$T$303))</x:f>
      </x:c>
      <x:c r="L22" s="524"/>
    </x:row>
    <x:row r="23">
      <x:c r="A23" s="524"/>
      <x:c r="B23" s="524"/>
      <x:c r="C23" s="524"/>
      <x:c r="D23" s="524"/>
      <x:c r="E23" s="524"/>
      <x:c r="F23" s="524"/>
      <x:c r="G23" s="524"/>
      <x:c r="H23" s="538" t="n"/>
      <x:c r="I23" s="524" t="str">
        <x:f>IF(A23="","",COUNTIF('7_Đơn hàng'!$G$4:$G$303,A23))</x:f>
      </x:c>
      <x:c r="J23" s="551" t="str">
        <x:f>IF(A23="","",SUMIF('7_Đơn hàng'!$G$4:$G$303,A23,'7_Đơn hàng'!$J$4:$J$303))</x:f>
      </x:c>
      <x:c r="K23" s="551" t="str">
        <x:f>IF(A23="","",SUMIF('7_Đơn hàng'!$G$4:$G$303,A23,'7_Đơn hàng'!$T$4:$T$303))</x:f>
      </x:c>
      <x:c r="L23" s="524"/>
    </x:row>
    <x:row r="24">
      <x:c r="A24" s="524"/>
      <x:c r="B24" s="524"/>
      <x:c r="C24" s="524"/>
      <x:c r="D24" s="524"/>
      <x:c r="E24" s="524"/>
      <x:c r="F24" s="524"/>
      <x:c r="G24" s="524"/>
      <x:c r="H24" s="538" t="n"/>
      <x:c r="I24" s="524" t="str">
        <x:f>IF(A24="","",COUNTIF('7_Đơn hàng'!$G$4:$G$303,A24))</x:f>
      </x:c>
      <x:c r="J24" s="551" t="str">
        <x:f>IF(A24="","",SUMIF('7_Đơn hàng'!$G$4:$G$303,A24,'7_Đơn hàng'!$J$4:$J$303))</x:f>
      </x:c>
      <x:c r="K24" s="551" t="str">
        <x:f>IF(A24="","",SUMIF('7_Đơn hàng'!$G$4:$G$303,A24,'7_Đơn hàng'!$T$4:$T$303))</x:f>
      </x:c>
      <x:c r="L24" s="524"/>
    </x:row>
    <x:row r="25">
      <x:c r="A25" s="524"/>
      <x:c r="B25" s="524"/>
      <x:c r="C25" s="524"/>
      <x:c r="D25" s="524"/>
      <x:c r="E25" s="524"/>
      <x:c r="F25" s="524"/>
      <x:c r="G25" s="524"/>
      <x:c r="H25" s="538" t="n"/>
      <x:c r="I25" s="524" t="str">
        <x:f>IF(A25="","",COUNTIF('7_Đơn hàng'!$G$4:$G$303,A25))</x:f>
      </x:c>
      <x:c r="J25" s="551" t="str">
        <x:f>IF(A25="","",SUMIF('7_Đơn hàng'!$G$4:$G$303,A25,'7_Đơn hàng'!$J$4:$J$303))</x:f>
      </x:c>
      <x:c r="K25" s="551" t="str">
        <x:f>IF(A25="","",SUMIF('7_Đơn hàng'!$G$4:$G$303,A25,'7_Đơn hàng'!$T$4:$T$303))</x:f>
      </x:c>
      <x:c r="L25" s="524"/>
    </x:row>
    <x:row r="26">
      <x:c r="A26" s="524"/>
      <x:c r="B26" s="524"/>
      <x:c r="C26" s="524"/>
      <x:c r="D26" s="524"/>
      <x:c r="E26" s="524"/>
      <x:c r="F26" s="524"/>
      <x:c r="G26" s="524"/>
      <x:c r="H26" s="538" t="n"/>
      <x:c r="I26" s="524" t="str">
        <x:f>IF(A26="","",COUNTIF('7_Đơn hàng'!$G$4:$G$303,A26))</x:f>
      </x:c>
      <x:c r="J26" s="551" t="str">
        <x:f>IF(A26="","",SUMIF('7_Đơn hàng'!$G$4:$G$303,A26,'7_Đơn hàng'!$J$4:$J$303))</x:f>
      </x:c>
      <x:c r="K26" s="551" t="str">
        <x:f>IF(A26="","",SUMIF('7_Đơn hàng'!$G$4:$G$303,A26,'7_Đơn hàng'!$T$4:$T$303))</x:f>
      </x:c>
      <x:c r="L26" s="524"/>
    </x:row>
    <x:row r="27">
      <x:c r="A27" s="524"/>
      <x:c r="B27" s="524"/>
      <x:c r="C27" s="524"/>
      <x:c r="D27" s="524"/>
      <x:c r="E27" s="524"/>
      <x:c r="F27" s="524"/>
      <x:c r="G27" s="524"/>
      <x:c r="H27" s="538" t="n"/>
      <x:c r="I27" s="524" t="str">
        <x:f>IF(A27="","",COUNTIF('7_Đơn hàng'!$G$4:$G$303,A27))</x:f>
      </x:c>
      <x:c r="J27" s="551" t="str">
        <x:f>IF(A27="","",SUMIF('7_Đơn hàng'!$G$4:$G$303,A27,'7_Đơn hàng'!$J$4:$J$303))</x:f>
      </x:c>
      <x:c r="K27" s="551" t="str">
        <x:f>IF(A27="","",SUMIF('7_Đơn hàng'!$G$4:$G$303,A27,'7_Đơn hàng'!$T$4:$T$303))</x:f>
      </x:c>
      <x:c r="L27" s="524"/>
    </x:row>
    <x:row r="28">
      <x:c r="A28" s="524"/>
      <x:c r="B28" s="524"/>
      <x:c r="C28" s="524"/>
      <x:c r="D28" s="524"/>
      <x:c r="E28" s="524"/>
      <x:c r="F28" s="524"/>
      <x:c r="G28" s="524"/>
      <x:c r="H28" s="538" t="n"/>
      <x:c r="I28" s="524" t="str">
        <x:f>IF(A28="","",COUNTIF('7_Đơn hàng'!$G$4:$G$303,A28))</x:f>
      </x:c>
      <x:c r="J28" s="551" t="str">
        <x:f>IF(A28="","",SUMIF('7_Đơn hàng'!$G$4:$G$303,A28,'7_Đơn hàng'!$J$4:$J$303))</x:f>
      </x:c>
      <x:c r="K28" s="551" t="str">
        <x:f>IF(A28="","",SUMIF('7_Đơn hàng'!$G$4:$G$303,A28,'7_Đơn hàng'!$T$4:$T$303))</x:f>
      </x:c>
      <x:c r="L28" s="524"/>
    </x:row>
    <x:row r="29">
      <x:c r="A29" s="524"/>
      <x:c r="B29" s="524"/>
      <x:c r="C29" s="524"/>
      <x:c r="D29" s="524"/>
      <x:c r="E29" s="524"/>
      <x:c r="F29" s="524"/>
      <x:c r="G29" s="524"/>
      <x:c r="H29" s="538" t="n"/>
      <x:c r="I29" s="524" t="str">
        <x:f>IF(A29="","",COUNTIF('7_Đơn hàng'!$G$4:$G$303,A29))</x:f>
      </x:c>
      <x:c r="J29" s="551" t="str">
        <x:f>IF(A29="","",SUMIF('7_Đơn hàng'!$G$4:$G$303,A29,'7_Đơn hàng'!$J$4:$J$303))</x:f>
      </x:c>
      <x:c r="K29" s="551" t="str">
        <x:f>IF(A29="","",SUMIF('7_Đơn hàng'!$G$4:$G$303,A29,'7_Đơn hàng'!$T$4:$T$303))</x:f>
      </x:c>
      <x:c r="L29" s="524"/>
    </x:row>
    <x:row r="30">
      <x:c r="A30" s="524"/>
      <x:c r="B30" s="524"/>
      <x:c r="C30" s="524"/>
      <x:c r="D30" s="524"/>
      <x:c r="E30" s="524"/>
      <x:c r="F30" s="524"/>
      <x:c r="G30" s="524"/>
      <x:c r="H30" s="538" t="n"/>
      <x:c r="I30" s="524" t="str">
        <x:f>IF(A30="","",COUNTIF('7_Đơn hàng'!$G$4:$G$303,A30))</x:f>
      </x:c>
      <x:c r="J30" s="551" t="str">
        <x:f>IF(A30="","",SUMIF('7_Đơn hàng'!$G$4:$G$303,A30,'7_Đơn hàng'!$J$4:$J$303))</x:f>
      </x:c>
      <x:c r="K30" s="551" t="str">
        <x:f>IF(A30="","",SUMIF('7_Đơn hàng'!$G$4:$G$303,A30,'7_Đơn hàng'!$T$4:$T$303))</x:f>
      </x:c>
      <x:c r="L30" s="524"/>
    </x:row>
    <x:row r="31">
      <x:c r="A31" s="524"/>
      <x:c r="B31" s="524"/>
      <x:c r="C31" s="524"/>
      <x:c r="D31" s="524"/>
      <x:c r="E31" s="524"/>
      <x:c r="F31" s="524"/>
      <x:c r="G31" s="524"/>
      <x:c r="H31" s="538" t="n"/>
      <x:c r="I31" s="524" t="str">
        <x:f>IF(A31="","",COUNTIF('7_Đơn hàng'!$G$4:$G$303,A31))</x:f>
      </x:c>
      <x:c r="J31" s="551" t="str">
        <x:f>IF(A31="","",SUMIF('7_Đơn hàng'!$G$4:$G$303,A31,'7_Đơn hàng'!$J$4:$J$303))</x:f>
      </x:c>
      <x:c r="K31" s="551" t="str">
        <x:f>IF(A31="","",SUMIF('7_Đơn hàng'!$G$4:$G$303,A31,'7_Đơn hàng'!$T$4:$T$303))</x:f>
      </x:c>
      <x:c r="L31" s="524"/>
    </x:row>
    <x:row r="32">
      <x:c r="A32" s="524"/>
      <x:c r="B32" s="524"/>
      <x:c r="C32" s="524"/>
      <x:c r="D32" s="524"/>
      <x:c r="E32" s="524"/>
      <x:c r="F32" s="524"/>
      <x:c r="G32" s="524"/>
      <x:c r="H32" s="538" t="n"/>
      <x:c r="I32" s="524" t="str">
        <x:f>IF(A32="","",COUNTIF('7_Đơn hàng'!$G$4:$G$303,A32))</x:f>
      </x:c>
      <x:c r="J32" s="551" t="str">
        <x:f>IF(A32="","",SUMIF('7_Đơn hàng'!$G$4:$G$303,A32,'7_Đơn hàng'!$J$4:$J$303))</x:f>
      </x:c>
      <x:c r="K32" s="551" t="str">
        <x:f>IF(A32="","",SUMIF('7_Đơn hàng'!$G$4:$G$303,A32,'7_Đơn hàng'!$T$4:$T$303))</x:f>
      </x:c>
      <x:c r="L32" s="524"/>
    </x:row>
    <x:row r="33">
      <x:c r="A33" s="524"/>
      <x:c r="B33" s="524"/>
      <x:c r="C33" s="524"/>
      <x:c r="D33" s="524"/>
      <x:c r="E33" s="524"/>
      <x:c r="F33" s="524"/>
      <x:c r="G33" s="524"/>
      <x:c r="H33" s="538" t="n"/>
      <x:c r="I33" s="524" t="str">
        <x:f>IF(A33="","",COUNTIF('7_Đơn hàng'!$G$4:$G$303,A33))</x:f>
      </x:c>
      <x:c r="J33" s="551" t="str">
        <x:f>IF(A33="","",SUMIF('7_Đơn hàng'!$G$4:$G$303,A33,'7_Đơn hàng'!$J$4:$J$303))</x:f>
      </x:c>
      <x:c r="K33" s="551" t="str">
        <x:f>IF(A33="","",SUMIF('7_Đơn hàng'!$G$4:$G$303,A33,'7_Đơn hàng'!$T$4:$T$303))</x:f>
      </x:c>
      <x:c r="L33" s="524"/>
    </x:row>
    <x:row r="34">
      <x:c r="A34" s="524"/>
      <x:c r="B34" s="524"/>
      <x:c r="C34" s="524"/>
      <x:c r="D34" s="524"/>
      <x:c r="E34" s="524"/>
      <x:c r="F34" s="524"/>
      <x:c r="G34" s="524"/>
      <x:c r="H34" s="538" t="n"/>
      <x:c r="I34" s="524" t="str">
        <x:f>IF(A34="","",COUNTIF('7_Đơn hàng'!$G$4:$G$303,A34))</x:f>
      </x:c>
      <x:c r="J34" s="551" t="str">
        <x:f>IF(A34="","",SUMIF('7_Đơn hàng'!$G$4:$G$303,A34,'7_Đơn hàng'!$J$4:$J$303))</x:f>
      </x:c>
      <x:c r="K34" s="551" t="str">
        <x:f>IF(A34="","",SUMIF('7_Đơn hàng'!$G$4:$G$303,A34,'7_Đơn hàng'!$T$4:$T$303))</x:f>
      </x:c>
      <x:c r="L34" s="524"/>
    </x:row>
    <x:row r="35">
      <x:c r="A35" s="524"/>
      <x:c r="B35" s="524"/>
      <x:c r="C35" s="524"/>
      <x:c r="D35" s="524"/>
      <x:c r="E35" s="524"/>
      <x:c r="F35" s="524"/>
      <x:c r="G35" s="524"/>
      <x:c r="H35" s="538" t="n"/>
      <x:c r="I35" s="524" t="str">
        <x:f>IF(A35="","",COUNTIF('7_Đơn hàng'!$G$4:$G$303,A35))</x:f>
      </x:c>
      <x:c r="J35" s="551" t="str">
        <x:f>IF(A35="","",SUMIF('7_Đơn hàng'!$G$4:$G$303,A35,'7_Đơn hàng'!$J$4:$J$303))</x:f>
      </x:c>
      <x:c r="K35" s="551" t="str">
        <x:f>IF(A35="","",SUMIF('7_Đơn hàng'!$G$4:$G$303,A35,'7_Đơn hàng'!$T$4:$T$303))</x:f>
      </x:c>
      <x:c r="L35" s="524"/>
    </x:row>
    <x:row r="36">
      <x:c r="A36" s="524"/>
      <x:c r="B36" s="524"/>
      <x:c r="C36" s="524"/>
      <x:c r="D36" s="524"/>
      <x:c r="E36" s="524"/>
      <x:c r="F36" s="524"/>
      <x:c r="G36" s="524"/>
      <x:c r="H36" s="538" t="n"/>
      <x:c r="I36" s="524" t="str">
        <x:f>IF(A36="","",COUNTIF('7_Đơn hàng'!$G$4:$G$303,A36))</x:f>
      </x:c>
      <x:c r="J36" s="551" t="str">
        <x:f>IF(A36="","",SUMIF('7_Đơn hàng'!$G$4:$G$303,A36,'7_Đơn hàng'!$J$4:$J$303))</x:f>
      </x:c>
      <x:c r="K36" s="551" t="str">
        <x:f>IF(A36="","",SUMIF('7_Đơn hàng'!$G$4:$G$303,A36,'7_Đơn hàng'!$T$4:$T$303))</x:f>
      </x:c>
      <x:c r="L36" s="524"/>
    </x:row>
    <x:row r="37">
      <x:c r="A37" s="524"/>
      <x:c r="B37" s="524"/>
      <x:c r="C37" s="524"/>
      <x:c r="D37" s="524"/>
      <x:c r="E37" s="524"/>
      <x:c r="F37" s="524"/>
      <x:c r="G37" s="524"/>
      <x:c r="H37" s="538" t="n"/>
      <x:c r="I37" s="524" t="str">
        <x:f>IF(A37="","",COUNTIF('7_Đơn hàng'!$G$4:$G$303,A37))</x:f>
      </x:c>
      <x:c r="J37" s="551" t="str">
        <x:f>IF(A37="","",SUMIF('7_Đơn hàng'!$G$4:$G$303,A37,'7_Đơn hàng'!$J$4:$J$303))</x:f>
      </x:c>
      <x:c r="K37" s="551" t="str">
        <x:f>IF(A37="","",SUMIF('7_Đơn hàng'!$G$4:$G$303,A37,'7_Đơn hàng'!$T$4:$T$303))</x:f>
      </x:c>
      <x:c r="L37" s="524"/>
    </x:row>
    <x:row r="38">
      <x:c r="A38" s="524"/>
      <x:c r="B38" s="524"/>
      <x:c r="C38" s="524"/>
      <x:c r="D38" s="524"/>
      <x:c r="E38" s="524"/>
      <x:c r="F38" s="524"/>
      <x:c r="G38" s="524"/>
      <x:c r="H38" s="538" t="n"/>
      <x:c r="I38" s="524" t="str">
        <x:f>IF(A38="","",COUNTIF('7_Đơn hàng'!$G$4:$G$303,A38))</x:f>
      </x:c>
      <x:c r="J38" s="551" t="str">
        <x:f>IF(A38="","",SUMIF('7_Đơn hàng'!$G$4:$G$303,A38,'7_Đơn hàng'!$J$4:$J$303))</x:f>
      </x:c>
      <x:c r="K38" s="551" t="str">
        <x:f>IF(A38="","",SUMIF('7_Đơn hàng'!$G$4:$G$303,A38,'7_Đơn hàng'!$T$4:$T$303))</x:f>
      </x:c>
      <x:c r="L38" s="524"/>
    </x:row>
    <x:row r="39">
      <x:c r="A39" s="524"/>
      <x:c r="B39" s="524"/>
      <x:c r="C39" s="524"/>
      <x:c r="D39" s="524"/>
      <x:c r="E39" s="524"/>
      <x:c r="F39" s="524"/>
      <x:c r="G39" s="524"/>
      <x:c r="H39" s="538" t="n"/>
      <x:c r="I39" s="524" t="str">
        <x:f>IF(A39="","",COUNTIF('7_Đơn hàng'!$G$4:$G$303,A39))</x:f>
      </x:c>
      <x:c r="J39" s="551" t="str">
        <x:f>IF(A39="","",SUMIF('7_Đơn hàng'!$G$4:$G$303,A39,'7_Đơn hàng'!$J$4:$J$303))</x:f>
      </x:c>
      <x:c r="K39" s="551" t="str">
        <x:f>IF(A39="","",SUMIF('7_Đơn hàng'!$G$4:$G$303,A39,'7_Đơn hàng'!$T$4:$T$303))</x:f>
      </x:c>
      <x:c r="L39" s="524"/>
    </x:row>
    <x:row r="40">
      <x:c r="A40" s="524"/>
      <x:c r="B40" s="524"/>
      <x:c r="C40" s="524"/>
      <x:c r="D40" s="524"/>
      <x:c r="E40" s="524"/>
      <x:c r="F40" s="524"/>
      <x:c r="G40" s="524"/>
      <x:c r="H40" s="538" t="n"/>
      <x:c r="I40" s="524" t="str">
        <x:f>IF(A40="","",COUNTIF('7_Đơn hàng'!$G$4:$G$303,A40))</x:f>
      </x:c>
      <x:c r="J40" s="551" t="str">
        <x:f>IF(A40="","",SUMIF('7_Đơn hàng'!$G$4:$G$303,A40,'7_Đơn hàng'!$J$4:$J$303))</x:f>
      </x:c>
      <x:c r="K40" s="551" t="str">
        <x:f>IF(A40="","",SUMIF('7_Đơn hàng'!$G$4:$G$303,A40,'7_Đơn hàng'!$T$4:$T$303))</x:f>
      </x:c>
      <x:c r="L40" s="524"/>
    </x:row>
    <x:row r="41">
      <x:c r="A41" s="524"/>
      <x:c r="B41" s="524"/>
      <x:c r="C41" s="524"/>
      <x:c r="D41" s="524"/>
      <x:c r="E41" s="524"/>
      <x:c r="F41" s="524"/>
      <x:c r="G41" s="524"/>
      <x:c r="H41" s="538" t="n"/>
      <x:c r="I41" s="524" t="str">
        <x:f>IF(A41="","",COUNTIF('7_Đơn hàng'!$G$4:$G$303,A41))</x:f>
      </x:c>
      <x:c r="J41" s="551" t="str">
        <x:f>IF(A41="","",SUMIF('7_Đơn hàng'!$G$4:$G$303,A41,'7_Đơn hàng'!$J$4:$J$303))</x:f>
      </x:c>
      <x:c r="K41" s="551" t="str">
        <x:f>IF(A41="","",SUMIF('7_Đơn hàng'!$G$4:$G$303,A41,'7_Đơn hàng'!$T$4:$T$303))</x:f>
      </x:c>
      <x:c r="L41" s="524"/>
    </x:row>
    <x:row r="42">
      <x:c r="A42" s="524"/>
      <x:c r="B42" s="524"/>
      <x:c r="C42" s="524"/>
      <x:c r="D42" s="524"/>
      <x:c r="E42" s="524"/>
      <x:c r="F42" s="524"/>
      <x:c r="G42" s="524"/>
      <x:c r="H42" s="538" t="n"/>
      <x:c r="I42" s="524" t="str">
        <x:f>IF(A42="","",COUNTIF('7_Đơn hàng'!$G$4:$G$303,A42))</x:f>
      </x:c>
      <x:c r="J42" s="551" t="str">
        <x:f>IF(A42="","",SUMIF('7_Đơn hàng'!$G$4:$G$303,A42,'7_Đơn hàng'!$J$4:$J$303))</x:f>
      </x:c>
      <x:c r="K42" s="551" t="str">
        <x:f>IF(A42="","",SUMIF('7_Đơn hàng'!$G$4:$G$303,A42,'7_Đơn hàng'!$T$4:$T$303))</x:f>
      </x:c>
      <x:c r="L42" s="524"/>
    </x:row>
    <x:row r="43">
      <x:c r="A43" s="524"/>
      <x:c r="B43" s="524"/>
      <x:c r="C43" s="524"/>
      <x:c r="D43" s="524"/>
      <x:c r="E43" s="524"/>
      <x:c r="F43" s="524"/>
      <x:c r="G43" s="524"/>
      <x:c r="H43" s="538" t="n"/>
      <x:c r="I43" s="524" t="str">
        <x:f>IF(A43="","",COUNTIF('7_Đơn hàng'!$G$4:$G$303,A43))</x:f>
      </x:c>
      <x:c r="J43" s="551" t="str">
        <x:f>IF(A43="","",SUMIF('7_Đơn hàng'!$G$4:$G$303,A43,'7_Đơn hàng'!$J$4:$J$303))</x:f>
      </x:c>
      <x:c r="K43" s="551" t="str">
        <x:f>IF(A43="","",SUMIF('7_Đơn hàng'!$G$4:$G$303,A43,'7_Đơn hàng'!$T$4:$T$303))</x:f>
      </x:c>
      <x:c r="L43" s="524"/>
    </x:row>
    <x:row r="44">
      <x:c r="A44" s="524"/>
      <x:c r="B44" s="524"/>
      <x:c r="C44" s="524"/>
      <x:c r="D44" s="524"/>
      <x:c r="E44" s="524"/>
      <x:c r="F44" s="524"/>
      <x:c r="G44" s="524"/>
      <x:c r="H44" s="538" t="n"/>
      <x:c r="I44" s="524" t="str">
        <x:f>IF(A44="","",COUNTIF('7_Đơn hàng'!$G$4:$G$303,A44))</x:f>
      </x:c>
      <x:c r="J44" s="551" t="str">
        <x:f>IF(A44="","",SUMIF('7_Đơn hàng'!$G$4:$G$303,A44,'7_Đơn hàng'!$J$4:$J$303))</x:f>
      </x:c>
      <x:c r="K44" s="551" t="str">
        <x:f>IF(A44="","",SUMIF('7_Đơn hàng'!$G$4:$G$303,A44,'7_Đơn hàng'!$T$4:$T$303))</x:f>
      </x:c>
      <x:c r="L44" s="524"/>
    </x:row>
    <x:row r="45">
      <x:c r="A45" s="524"/>
      <x:c r="B45" s="524"/>
      <x:c r="C45" s="524"/>
      <x:c r="D45" s="524"/>
      <x:c r="E45" s="524"/>
      <x:c r="F45" s="524"/>
      <x:c r="G45" s="524"/>
      <x:c r="H45" s="538" t="n"/>
      <x:c r="I45" s="524" t="str">
        <x:f>IF(A45="","",COUNTIF('7_Đơn hàng'!$G$4:$G$303,A45))</x:f>
      </x:c>
      <x:c r="J45" s="551" t="str">
        <x:f>IF(A45="","",SUMIF('7_Đơn hàng'!$G$4:$G$303,A45,'7_Đơn hàng'!$J$4:$J$303))</x:f>
      </x:c>
      <x:c r="K45" s="551" t="str">
        <x:f>IF(A45="","",SUMIF('7_Đơn hàng'!$G$4:$G$303,A45,'7_Đơn hàng'!$T$4:$T$303))</x:f>
      </x:c>
      <x:c r="L45" s="524"/>
    </x:row>
    <x:row r="46">
      <x:c r="A46" s="524"/>
      <x:c r="B46" s="524"/>
      <x:c r="C46" s="524"/>
      <x:c r="D46" s="524"/>
      <x:c r="E46" s="524"/>
      <x:c r="F46" s="524"/>
      <x:c r="G46" s="524"/>
      <x:c r="H46" s="538" t="n"/>
      <x:c r="I46" s="524" t="str">
        <x:f>IF(A46="","",COUNTIF('7_Đơn hàng'!$G$4:$G$303,A46))</x:f>
      </x:c>
      <x:c r="J46" s="551" t="str">
        <x:f>IF(A46="","",SUMIF('7_Đơn hàng'!$G$4:$G$303,A46,'7_Đơn hàng'!$J$4:$J$303))</x:f>
      </x:c>
      <x:c r="K46" s="551" t="str">
        <x:f>IF(A46="","",SUMIF('7_Đơn hàng'!$G$4:$G$303,A46,'7_Đơn hàng'!$T$4:$T$303))</x:f>
      </x:c>
      <x:c r="L46" s="524"/>
    </x:row>
    <x:row r="47">
      <x:c r="A47" s="524"/>
      <x:c r="B47" s="524"/>
      <x:c r="C47" s="524"/>
      <x:c r="D47" s="524"/>
      <x:c r="E47" s="524"/>
      <x:c r="F47" s="524"/>
      <x:c r="G47" s="524"/>
      <x:c r="H47" s="538" t="n"/>
      <x:c r="I47" s="524" t="str">
        <x:f>IF(A47="","",COUNTIF('7_Đơn hàng'!$G$4:$G$303,A47))</x:f>
      </x:c>
      <x:c r="J47" s="551" t="str">
        <x:f>IF(A47="","",SUMIF('7_Đơn hàng'!$G$4:$G$303,A47,'7_Đơn hàng'!$J$4:$J$303))</x:f>
      </x:c>
      <x:c r="K47" s="551" t="str">
        <x:f>IF(A47="","",SUMIF('7_Đơn hàng'!$G$4:$G$303,A47,'7_Đơn hàng'!$T$4:$T$303))</x:f>
      </x:c>
      <x:c r="L47" s="524"/>
    </x:row>
    <x:row r="48">
      <x:c r="A48" s="524"/>
      <x:c r="B48" s="524"/>
      <x:c r="C48" s="524"/>
      <x:c r="D48" s="524"/>
      <x:c r="E48" s="524"/>
      <x:c r="F48" s="524"/>
      <x:c r="G48" s="524"/>
      <x:c r="H48" s="538" t="n"/>
      <x:c r="I48" s="524" t="str">
        <x:f>IF(A48="","",COUNTIF('7_Đơn hàng'!$G$4:$G$303,A48))</x:f>
      </x:c>
      <x:c r="J48" s="551" t="str">
        <x:f>IF(A48="","",SUMIF('7_Đơn hàng'!$G$4:$G$303,A48,'7_Đơn hàng'!$J$4:$J$303))</x:f>
      </x:c>
      <x:c r="K48" s="551" t="str">
        <x:f>IF(A48="","",SUMIF('7_Đơn hàng'!$G$4:$G$303,A48,'7_Đơn hàng'!$T$4:$T$303))</x:f>
      </x:c>
      <x:c r="L48" s="524"/>
    </x:row>
    <x:row r="49">
      <x:c r="A49" s="524"/>
      <x:c r="B49" s="524"/>
      <x:c r="C49" s="524"/>
      <x:c r="D49" s="524"/>
      <x:c r="E49" s="524"/>
      <x:c r="F49" s="524"/>
      <x:c r="G49" s="524"/>
      <x:c r="H49" s="538" t="n"/>
      <x:c r="I49" s="524" t="str">
        <x:f>IF(A49="","",COUNTIF('7_Đơn hàng'!$G$4:$G$303,A49))</x:f>
      </x:c>
      <x:c r="J49" s="551" t="str">
        <x:f>IF(A49="","",SUMIF('7_Đơn hàng'!$G$4:$G$303,A49,'7_Đơn hàng'!$J$4:$J$303))</x:f>
      </x:c>
      <x:c r="K49" s="551" t="str">
        <x:f>IF(A49="","",SUMIF('7_Đơn hàng'!$G$4:$G$303,A49,'7_Đơn hàng'!$T$4:$T$303))</x:f>
      </x:c>
      <x:c r="L49" s="524"/>
    </x:row>
    <x:row r="50">
      <x:c r="A50" s="524"/>
      <x:c r="B50" s="524"/>
      <x:c r="C50" s="524"/>
      <x:c r="D50" s="524"/>
      <x:c r="E50" s="524"/>
      <x:c r="F50" s="524"/>
      <x:c r="G50" s="524"/>
      <x:c r="H50" s="538" t="n"/>
      <x:c r="I50" s="524" t="str">
        <x:f>IF(A50="","",COUNTIF('7_Đơn hàng'!$G$4:$G$303,A50))</x:f>
      </x:c>
      <x:c r="J50" s="551" t="str">
        <x:f>IF(A50="","",SUMIF('7_Đơn hàng'!$G$4:$G$303,A50,'7_Đơn hàng'!$J$4:$J$303))</x:f>
      </x:c>
      <x:c r="K50" s="551" t="str">
        <x:f>IF(A50="","",SUMIF('7_Đơn hàng'!$G$4:$G$303,A50,'7_Đơn hàng'!$T$4:$T$303))</x:f>
      </x:c>
      <x:c r="L50" s="524"/>
    </x:row>
    <x:row r="51">
      <x:c r="A51" s="524"/>
      <x:c r="B51" s="524"/>
      <x:c r="C51" s="524"/>
      <x:c r="D51" s="524"/>
      <x:c r="E51" s="524"/>
      <x:c r="F51" s="524"/>
      <x:c r="G51" s="524"/>
      <x:c r="H51" s="538" t="n"/>
      <x:c r="I51" s="524" t="str">
        <x:f>IF(A51="","",COUNTIF('7_Đơn hàng'!$G$4:$G$303,A51))</x:f>
      </x:c>
      <x:c r="J51" s="551" t="str">
        <x:f>IF(A51="","",SUMIF('7_Đơn hàng'!$G$4:$G$303,A51,'7_Đơn hàng'!$J$4:$J$303))</x:f>
      </x:c>
      <x:c r="K51" s="551" t="str">
        <x:f>IF(A51="","",SUMIF('7_Đơn hàng'!$G$4:$G$303,A51,'7_Đơn hàng'!$T$4:$T$303))</x:f>
      </x:c>
      <x:c r="L51" s="524"/>
    </x:row>
    <x:row r="52">
      <x:c r="A52" s="524"/>
      <x:c r="B52" s="524"/>
      <x:c r="C52" s="524"/>
      <x:c r="D52" s="524"/>
      <x:c r="E52" s="524"/>
      <x:c r="F52" s="524"/>
      <x:c r="G52" s="524"/>
      <x:c r="H52" s="538" t="n"/>
      <x:c r="I52" s="524" t="str">
        <x:f>IF(A52="","",COUNTIF('7_Đơn hàng'!$G$4:$G$303,A52))</x:f>
      </x:c>
      <x:c r="J52" s="551" t="str">
        <x:f>IF(A52="","",SUMIF('7_Đơn hàng'!$G$4:$G$303,A52,'7_Đơn hàng'!$J$4:$J$303))</x:f>
      </x:c>
      <x:c r="K52" s="551" t="str">
        <x:f>IF(A52="","",SUMIF('7_Đơn hàng'!$G$4:$G$303,A52,'7_Đơn hàng'!$T$4:$T$303))</x:f>
      </x:c>
      <x:c r="L52" s="524"/>
    </x:row>
    <x:row r="53">
      <x:c r="A53" s="524"/>
      <x:c r="B53" s="524"/>
      <x:c r="C53" s="524"/>
      <x:c r="D53" s="524"/>
      <x:c r="E53" s="524"/>
      <x:c r="F53" s="524"/>
      <x:c r="G53" s="524"/>
      <x:c r="H53" s="538" t="n"/>
      <x:c r="I53" s="524" t="str">
        <x:f>IF(A53="","",COUNTIF('7_Đơn hàng'!$G$4:$G$303,A53))</x:f>
      </x:c>
      <x:c r="J53" s="551" t="str">
        <x:f>IF(A53="","",SUMIF('7_Đơn hàng'!$G$4:$G$303,A53,'7_Đơn hàng'!$J$4:$J$303))</x:f>
      </x:c>
      <x:c r="K53" s="551" t="str">
        <x:f>IF(A53="","",SUMIF('7_Đơn hàng'!$G$4:$G$303,A53,'7_Đơn hàng'!$T$4:$T$303))</x:f>
      </x:c>
      <x:c r="L53" s="524"/>
    </x:row>
    <x:row r="54">
      <x:c r="A54" s="524"/>
      <x:c r="B54" s="524"/>
      <x:c r="C54" s="524"/>
      <x:c r="D54" s="524"/>
      <x:c r="E54" s="524"/>
      <x:c r="F54" s="524"/>
      <x:c r="G54" s="524"/>
      <x:c r="H54" s="538" t="n"/>
      <x:c r="I54" s="524" t="str">
        <x:f>IF(A54="","",COUNTIF('7_Đơn hàng'!$G$4:$G$303,A54))</x:f>
      </x:c>
      <x:c r="J54" s="551" t="str">
        <x:f>IF(A54="","",SUMIF('7_Đơn hàng'!$G$4:$G$303,A54,'7_Đơn hàng'!$J$4:$J$303))</x:f>
      </x:c>
      <x:c r="K54" s="551" t="str">
        <x:f>IF(A54="","",SUMIF('7_Đơn hàng'!$G$4:$G$303,A54,'7_Đơn hàng'!$T$4:$T$303))</x:f>
      </x:c>
      <x:c r="L54" s="524"/>
    </x:row>
    <x:row r="55">
      <x:c r="A55" s="524"/>
      <x:c r="B55" s="524"/>
      <x:c r="C55" s="524"/>
      <x:c r="D55" s="524"/>
      <x:c r="E55" s="524"/>
      <x:c r="F55" s="524"/>
      <x:c r="G55" s="524"/>
      <x:c r="H55" s="538" t="n"/>
      <x:c r="I55" s="524" t="str">
        <x:f>IF(A55="","",COUNTIF('7_Đơn hàng'!$G$4:$G$303,A55))</x:f>
      </x:c>
      <x:c r="J55" s="551" t="str">
        <x:f>IF(A55="","",SUMIF('7_Đơn hàng'!$G$4:$G$303,A55,'7_Đơn hàng'!$J$4:$J$303))</x:f>
      </x:c>
      <x:c r="K55" s="551" t="str">
        <x:f>IF(A55="","",SUMIF('7_Đơn hàng'!$G$4:$G$303,A55,'7_Đơn hàng'!$T$4:$T$303))</x:f>
      </x:c>
      <x:c r="L55" s="524"/>
    </x:row>
    <x:row r="56">
      <x:c r="A56" s="524"/>
      <x:c r="B56" s="524"/>
      <x:c r="C56" s="524"/>
      <x:c r="D56" s="524"/>
      <x:c r="E56" s="524"/>
      <x:c r="F56" s="524"/>
      <x:c r="G56" s="524"/>
      <x:c r="H56" s="538" t="n"/>
      <x:c r="I56" s="524" t="str">
        <x:f>IF(A56="","",COUNTIF('7_Đơn hàng'!$G$4:$G$303,A56))</x:f>
      </x:c>
      <x:c r="J56" s="551" t="str">
        <x:f>IF(A56="","",SUMIF('7_Đơn hàng'!$G$4:$G$303,A56,'7_Đơn hàng'!$J$4:$J$303))</x:f>
      </x:c>
      <x:c r="K56" s="551" t="str">
        <x:f>IF(A56="","",SUMIF('7_Đơn hàng'!$G$4:$G$303,A56,'7_Đơn hàng'!$T$4:$T$303))</x:f>
      </x:c>
      <x:c r="L56" s="524"/>
    </x:row>
    <x:row r="57">
      <x:c r="A57" s="524"/>
      <x:c r="B57" s="524"/>
      <x:c r="C57" s="524"/>
      <x:c r="D57" s="524"/>
      <x:c r="E57" s="524"/>
      <x:c r="F57" s="524"/>
      <x:c r="G57" s="524"/>
      <x:c r="H57" s="538" t="n"/>
      <x:c r="I57" s="524" t="str">
        <x:f>IF(A57="","",COUNTIF('7_Đơn hàng'!$G$4:$G$303,A57))</x:f>
      </x:c>
      <x:c r="J57" s="551" t="str">
        <x:f>IF(A57="","",SUMIF('7_Đơn hàng'!$G$4:$G$303,A57,'7_Đơn hàng'!$J$4:$J$303))</x:f>
      </x:c>
      <x:c r="K57" s="551" t="str">
        <x:f>IF(A57="","",SUMIF('7_Đơn hàng'!$G$4:$G$303,A57,'7_Đơn hàng'!$T$4:$T$303))</x:f>
      </x:c>
      <x:c r="L57" s="524"/>
    </x:row>
    <x:row r="58">
      <x:c r="A58" s="524"/>
      <x:c r="B58" s="524"/>
      <x:c r="C58" s="524"/>
      <x:c r="D58" s="524"/>
      <x:c r="E58" s="524"/>
      <x:c r="F58" s="524"/>
      <x:c r="G58" s="524"/>
      <x:c r="H58" s="538" t="n"/>
      <x:c r="I58" s="524" t="str">
        <x:f>IF(A58="","",COUNTIF('7_Đơn hàng'!$G$4:$G$303,A58))</x:f>
      </x:c>
      <x:c r="J58" s="551" t="str">
        <x:f>IF(A58="","",SUMIF('7_Đơn hàng'!$G$4:$G$303,A58,'7_Đơn hàng'!$J$4:$J$303))</x:f>
      </x:c>
      <x:c r="K58" s="551" t="str">
        <x:f>IF(A58="","",SUMIF('7_Đơn hàng'!$G$4:$G$303,A58,'7_Đơn hàng'!$T$4:$T$303))</x:f>
      </x:c>
      <x:c r="L58" s="524"/>
    </x:row>
    <x:row r="59">
      <x:c r="A59" s="524"/>
      <x:c r="B59" s="524"/>
      <x:c r="C59" s="524"/>
      <x:c r="D59" s="524"/>
      <x:c r="E59" s="524"/>
      <x:c r="F59" s="524"/>
      <x:c r="G59" s="524"/>
      <x:c r="H59" s="538" t="n"/>
      <x:c r="I59" s="524" t="str">
        <x:f>IF(A59="","",COUNTIF('7_Đơn hàng'!$G$4:$G$303,A59))</x:f>
      </x:c>
      <x:c r="J59" s="551" t="str">
        <x:f>IF(A59="","",SUMIF('7_Đơn hàng'!$G$4:$G$303,A59,'7_Đơn hàng'!$J$4:$J$303))</x:f>
      </x:c>
      <x:c r="K59" s="551" t="str">
        <x:f>IF(A59="","",SUMIF('7_Đơn hàng'!$G$4:$G$303,A59,'7_Đơn hàng'!$T$4:$T$303))</x:f>
      </x:c>
      <x:c r="L59" s="524"/>
    </x:row>
    <x:row r="60">
      <x:c r="A60" s="524"/>
      <x:c r="B60" s="524"/>
      <x:c r="C60" s="524"/>
      <x:c r="D60" s="524"/>
      <x:c r="E60" s="524"/>
      <x:c r="F60" s="524"/>
      <x:c r="G60" s="524"/>
      <x:c r="H60" s="538" t="n"/>
      <x:c r="I60" s="524" t="str">
        <x:f>IF(A60="","",COUNTIF('7_Đơn hàng'!$G$4:$G$303,A60))</x:f>
      </x:c>
      <x:c r="J60" s="551" t="str">
        <x:f>IF(A60="","",SUMIF('7_Đơn hàng'!$G$4:$G$303,A60,'7_Đơn hàng'!$J$4:$J$303))</x:f>
      </x:c>
      <x:c r="K60" s="551" t="str">
        <x:f>IF(A60="","",SUMIF('7_Đơn hàng'!$G$4:$G$303,A60,'7_Đơn hàng'!$T$4:$T$303))</x:f>
      </x:c>
      <x:c r="L60" s="524"/>
    </x:row>
    <x:row r="61">
      <x:c r="A61" s="524"/>
      <x:c r="B61" s="524"/>
      <x:c r="C61" s="524"/>
      <x:c r="D61" s="524"/>
      <x:c r="E61" s="524"/>
      <x:c r="F61" s="524"/>
      <x:c r="G61" s="524"/>
      <x:c r="H61" s="538" t="n"/>
      <x:c r="I61" s="524" t="str">
        <x:f>IF(A61="","",COUNTIF('7_Đơn hàng'!$G$4:$G$303,A61))</x:f>
      </x:c>
      <x:c r="J61" s="551" t="str">
        <x:f>IF(A61="","",SUMIF('7_Đơn hàng'!$G$4:$G$303,A61,'7_Đơn hàng'!$J$4:$J$303))</x:f>
      </x:c>
      <x:c r="K61" s="551" t="str">
        <x:f>IF(A61="","",SUMIF('7_Đơn hàng'!$G$4:$G$303,A61,'7_Đơn hàng'!$T$4:$T$303))</x:f>
      </x:c>
      <x:c r="L61" s="524"/>
    </x:row>
    <x:row r="62">
      <x:c r="A62" s="524"/>
      <x:c r="B62" s="524"/>
      <x:c r="C62" s="524"/>
      <x:c r="D62" s="524"/>
      <x:c r="E62" s="524"/>
      <x:c r="F62" s="524"/>
      <x:c r="G62" s="524"/>
      <x:c r="H62" s="538" t="n"/>
      <x:c r="I62" s="524" t="str">
        <x:f>IF(A62="","",COUNTIF('7_Đơn hàng'!$G$4:$G$303,A62))</x:f>
      </x:c>
      <x:c r="J62" s="551" t="str">
        <x:f>IF(A62="","",SUMIF('7_Đơn hàng'!$G$4:$G$303,A62,'7_Đơn hàng'!$J$4:$J$303))</x:f>
      </x:c>
      <x:c r="K62" s="551" t="str">
        <x:f>IF(A62="","",SUMIF('7_Đơn hàng'!$G$4:$G$303,A62,'7_Đơn hàng'!$T$4:$T$303))</x:f>
      </x:c>
      <x:c r="L62" s="524"/>
    </x:row>
    <x:row r="63">
      <x:c r="A63" s="524"/>
      <x:c r="B63" s="524"/>
      <x:c r="C63" s="524"/>
      <x:c r="D63" s="524"/>
      <x:c r="E63" s="524"/>
      <x:c r="F63" s="524"/>
      <x:c r="G63" s="524"/>
      <x:c r="H63" s="538" t="n"/>
      <x:c r="I63" s="524" t="str">
        <x:f>IF(A63="","",COUNTIF('7_Đơn hàng'!$G$4:$G$303,A63))</x:f>
      </x:c>
      <x:c r="J63" s="551" t="str">
        <x:f>IF(A63="","",SUMIF('7_Đơn hàng'!$G$4:$G$303,A63,'7_Đơn hàng'!$J$4:$J$303))</x:f>
      </x:c>
      <x:c r="K63" s="551" t="str">
        <x:f>IF(A63="","",SUMIF('7_Đơn hàng'!$G$4:$G$303,A63,'7_Đơn hàng'!$T$4:$T$303))</x:f>
      </x:c>
      <x:c r="L63" s="524"/>
    </x:row>
    <x:row r="64">
      <x:c r="A64" s="524"/>
      <x:c r="B64" s="524"/>
      <x:c r="C64" s="524"/>
      <x:c r="D64" s="524"/>
      <x:c r="E64" s="524"/>
      <x:c r="F64" s="524"/>
      <x:c r="G64" s="524"/>
      <x:c r="H64" s="538" t="n"/>
      <x:c r="I64" s="524" t="str">
        <x:f>IF(A64="","",COUNTIF('7_Đơn hàng'!$G$4:$G$303,A64))</x:f>
      </x:c>
      <x:c r="J64" s="551" t="str">
        <x:f>IF(A64="","",SUMIF('7_Đơn hàng'!$G$4:$G$303,A64,'7_Đơn hàng'!$J$4:$J$303))</x:f>
      </x:c>
      <x:c r="K64" s="551" t="str">
        <x:f>IF(A64="","",SUMIF('7_Đơn hàng'!$G$4:$G$303,A64,'7_Đơn hàng'!$T$4:$T$303))</x:f>
      </x:c>
      <x:c r="L64" s="524"/>
    </x:row>
    <x:row r="65">
      <x:c r="A65" s="524"/>
      <x:c r="B65" s="524"/>
      <x:c r="C65" s="524"/>
      <x:c r="D65" s="524"/>
      <x:c r="E65" s="524"/>
      <x:c r="F65" s="524"/>
      <x:c r="G65" s="524"/>
      <x:c r="H65" s="538" t="n"/>
      <x:c r="I65" s="524" t="str">
        <x:f>IF(A65="","",COUNTIF('7_Đơn hàng'!$G$4:$G$303,A65))</x:f>
      </x:c>
      <x:c r="J65" s="551" t="str">
        <x:f>IF(A65="","",SUMIF('7_Đơn hàng'!$G$4:$G$303,A65,'7_Đơn hàng'!$J$4:$J$303))</x:f>
      </x:c>
      <x:c r="K65" s="551" t="str">
        <x:f>IF(A65="","",SUMIF('7_Đơn hàng'!$G$4:$G$303,A65,'7_Đơn hàng'!$T$4:$T$303))</x:f>
      </x:c>
      <x:c r="L65" s="524"/>
    </x:row>
    <x:row r="66">
      <x:c r="A66" s="524"/>
      <x:c r="B66" s="524"/>
      <x:c r="C66" s="524"/>
      <x:c r="D66" s="524"/>
      <x:c r="E66" s="524"/>
      <x:c r="F66" s="524"/>
      <x:c r="G66" s="524"/>
      <x:c r="H66" s="538" t="n"/>
      <x:c r="I66" s="524" t="str">
        <x:f>IF(A66="","",COUNTIF('7_Đơn hàng'!$G$4:$G$303,A66))</x:f>
      </x:c>
      <x:c r="J66" s="551" t="str">
        <x:f>IF(A66="","",SUMIF('7_Đơn hàng'!$G$4:$G$303,A66,'7_Đơn hàng'!$J$4:$J$303))</x:f>
      </x:c>
      <x:c r="K66" s="551" t="str">
        <x:f>IF(A66="","",SUMIF('7_Đơn hàng'!$G$4:$G$303,A66,'7_Đơn hàng'!$T$4:$T$303))</x:f>
      </x:c>
      <x:c r="L66" s="524"/>
    </x:row>
    <x:row r="67">
      <x:c r="A67" s="524"/>
      <x:c r="B67" s="524"/>
      <x:c r="C67" s="524"/>
      <x:c r="D67" s="524"/>
      <x:c r="E67" s="524"/>
      <x:c r="F67" s="524"/>
      <x:c r="G67" s="524"/>
      <x:c r="H67" s="538" t="n"/>
      <x:c r="I67" s="524" t="str">
        <x:f>IF(A67="","",COUNTIF('7_Đơn hàng'!$G$4:$G$303,A67))</x:f>
      </x:c>
      <x:c r="J67" s="551" t="str">
        <x:f>IF(A67="","",SUMIF('7_Đơn hàng'!$G$4:$G$303,A67,'7_Đơn hàng'!$J$4:$J$303))</x:f>
      </x:c>
      <x:c r="K67" s="551" t="str">
        <x:f>IF(A67="","",SUMIF('7_Đơn hàng'!$G$4:$G$303,A67,'7_Đơn hàng'!$T$4:$T$303))</x:f>
      </x:c>
      <x:c r="L67" s="524"/>
    </x:row>
    <x:row r="68">
      <x:c r="A68" s="524"/>
      <x:c r="B68" s="524"/>
      <x:c r="C68" s="524"/>
      <x:c r="D68" s="524"/>
      <x:c r="E68" s="524"/>
      <x:c r="F68" s="524"/>
      <x:c r="G68" s="524"/>
      <x:c r="H68" s="538" t="n"/>
      <x:c r="I68" s="524" t="str">
        <x:f>IF(A68="","",COUNTIF('7_Đơn hàng'!$G$4:$G$303,A68))</x:f>
      </x:c>
      <x:c r="J68" s="551" t="str">
        <x:f>IF(A68="","",SUMIF('7_Đơn hàng'!$G$4:$G$303,A68,'7_Đơn hàng'!$J$4:$J$303))</x:f>
      </x:c>
      <x:c r="K68" s="551" t="str">
        <x:f>IF(A68="","",SUMIF('7_Đơn hàng'!$G$4:$G$303,A68,'7_Đơn hàng'!$T$4:$T$303))</x:f>
      </x:c>
      <x:c r="L68" s="524"/>
    </x:row>
    <x:row r="69">
      <x:c r="A69" s="524"/>
      <x:c r="B69" s="524"/>
      <x:c r="C69" s="524"/>
      <x:c r="D69" s="524"/>
      <x:c r="E69" s="524"/>
      <x:c r="F69" s="524"/>
      <x:c r="G69" s="524"/>
      <x:c r="H69" s="538" t="n"/>
      <x:c r="I69" s="524" t="str">
        <x:f>IF(A69="","",COUNTIF('7_Đơn hàng'!$G$4:$G$303,A69))</x:f>
      </x:c>
      <x:c r="J69" s="551" t="str">
        <x:f>IF(A69="","",SUMIF('7_Đơn hàng'!$G$4:$G$303,A69,'7_Đơn hàng'!$J$4:$J$303))</x:f>
      </x:c>
      <x:c r="K69" s="551" t="str">
        <x:f>IF(A69="","",SUMIF('7_Đơn hàng'!$G$4:$G$303,A69,'7_Đơn hàng'!$T$4:$T$303))</x:f>
      </x:c>
      <x:c r="L69" s="524"/>
    </x:row>
    <x:row r="70">
      <x:c r="A70" s="524"/>
      <x:c r="B70" s="524"/>
      <x:c r="C70" s="524"/>
      <x:c r="D70" s="524"/>
      <x:c r="E70" s="524"/>
      <x:c r="F70" s="524"/>
      <x:c r="G70" s="524"/>
      <x:c r="H70" s="538" t="n"/>
      <x:c r="I70" s="524" t="str">
        <x:f>IF(A70="","",COUNTIF('7_Đơn hàng'!$G$4:$G$303,A70))</x:f>
      </x:c>
      <x:c r="J70" s="551" t="str">
        <x:f>IF(A70="","",SUMIF('7_Đơn hàng'!$G$4:$G$303,A70,'7_Đơn hàng'!$J$4:$J$303))</x:f>
      </x:c>
      <x:c r="K70" s="551" t="str">
        <x:f>IF(A70="","",SUMIF('7_Đơn hàng'!$G$4:$G$303,A70,'7_Đơn hàng'!$T$4:$T$303))</x:f>
      </x:c>
      <x:c r="L70" s="524"/>
    </x:row>
    <x:row r="71">
      <x:c r="A71" s="524"/>
      <x:c r="B71" s="524"/>
      <x:c r="C71" s="524"/>
      <x:c r="D71" s="524"/>
      <x:c r="E71" s="524"/>
      <x:c r="F71" s="524"/>
      <x:c r="G71" s="524"/>
      <x:c r="H71" s="538" t="n"/>
      <x:c r="I71" s="524" t="str">
        <x:f>IF(A71="","",COUNTIF('7_Đơn hàng'!$G$4:$G$303,A71))</x:f>
      </x:c>
      <x:c r="J71" s="551" t="str">
        <x:f>IF(A71="","",SUMIF('7_Đơn hàng'!$G$4:$G$303,A71,'7_Đơn hàng'!$J$4:$J$303))</x:f>
      </x:c>
      <x:c r="K71" s="551" t="str">
        <x:f>IF(A71="","",SUMIF('7_Đơn hàng'!$G$4:$G$303,A71,'7_Đơn hàng'!$T$4:$T$303))</x:f>
      </x:c>
      <x:c r="L71" s="524"/>
    </x:row>
    <x:row r="72">
      <x:c r="A72" s="524"/>
      <x:c r="B72" s="524"/>
      <x:c r="C72" s="524"/>
      <x:c r="D72" s="524"/>
      <x:c r="E72" s="524"/>
      <x:c r="F72" s="524"/>
      <x:c r="G72" s="524"/>
      <x:c r="H72" s="538" t="n"/>
      <x:c r="I72" s="524" t="str">
        <x:f>IF(A72="","",COUNTIF('7_Đơn hàng'!$G$4:$G$303,A72))</x:f>
      </x:c>
      <x:c r="J72" s="551" t="str">
        <x:f>IF(A72="","",SUMIF('7_Đơn hàng'!$G$4:$G$303,A72,'7_Đơn hàng'!$J$4:$J$303))</x:f>
      </x:c>
      <x:c r="K72" s="551" t="str">
        <x:f>IF(A72="","",SUMIF('7_Đơn hàng'!$G$4:$G$303,A72,'7_Đơn hàng'!$T$4:$T$303))</x:f>
      </x:c>
      <x:c r="L72" s="524"/>
    </x:row>
    <x:row r="73">
      <x:c r="A73" s="524"/>
      <x:c r="B73" s="524"/>
      <x:c r="C73" s="524"/>
      <x:c r="D73" s="524"/>
      <x:c r="E73" s="524"/>
      <x:c r="F73" s="524"/>
      <x:c r="G73" s="524"/>
      <x:c r="H73" s="538" t="n"/>
      <x:c r="I73" s="524" t="str">
        <x:f>IF(A73="","",COUNTIF('7_Đơn hàng'!$G$4:$G$303,A73))</x:f>
      </x:c>
      <x:c r="J73" s="551" t="str">
        <x:f>IF(A73="","",SUMIF('7_Đơn hàng'!$G$4:$G$303,A73,'7_Đơn hàng'!$J$4:$J$303))</x:f>
      </x:c>
      <x:c r="K73" s="551" t="str">
        <x:f>IF(A73="","",SUMIF('7_Đơn hàng'!$G$4:$G$303,A73,'7_Đơn hàng'!$T$4:$T$303))</x:f>
      </x:c>
      <x:c r="L73" s="524"/>
    </x:row>
    <x:row r="74">
      <x:c r="A74" s="524"/>
      <x:c r="B74" s="524"/>
      <x:c r="C74" s="524"/>
      <x:c r="D74" s="524"/>
      <x:c r="E74" s="524"/>
      <x:c r="F74" s="524"/>
      <x:c r="G74" s="524"/>
      <x:c r="H74" s="538" t="n"/>
      <x:c r="I74" s="524" t="str">
        <x:f>IF(A74="","",COUNTIF('7_Đơn hàng'!$G$4:$G$303,A74))</x:f>
      </x:c>
      <x:c r="J74" s="551" t="str">
        <x:f>IF(A74="","",SUMIF('7_Đơn hàng'!$G$4:$G$303,A74,'7_Đơn hàng'!$J$4:$J$303))</x:f>
      </x:c>
      <x:c r="K74" s="551" t="str">
        <x:f>IF(A74="","",SUMIF('7_Đơn hàng'!$G$4:$G$303,A74,'7_Đơn hàng'!$T$4:$T$303))</x:f>
      </x:c>
      <x:c r="L74" s="524"/>
    </x:row>
    <x:row r="75">
      <x:c r="A75" s="524"/>
      <x:c r="B75" s="524"/>
      <x:c r="C75" s="524"/>
      <x:c r="D75" s="524"/>
      <x:c r="E75" s="524"/>
      <x:c r="F75" s="524"/>
      <x:c r="G75" s="524"/>
      <x:c r="H75" s="538" t="n"/>
      <x:c r="I75" s="524" t="str">
        <x:f>IF(A75="","",COUNTIF('7_Đơn hàng'!$G$4:$G$303,A75))</x:f>
      </x:c>
      <x:c r="J75" s="551" t="str">
        <x:f>IF(A75="","",SUMIF('7_Đơn hàng'!$G$4:$G$303,A75,'7_Đơn hàng'!$J$4:$J$303))</x:f>
      </x:c>
      <x:c r="K75" s="551" t="str">
        <x:f>IF(A75="","",SUMIF('7_Đơn hàng'!$G$4:$G$303,A75,'7_Đơn hàng'!$T$4:$T$303))</x:f>
      </x:c>
      <x:c r="L75" s="524"/>
    </x:row>
    <x:row r="76">
      <x:c r="A76" s="524"/>
      <x:c r="B76" s="524"/>
      <x:c r="C76" s="524"/>
      <x:c r="D76" s="524"/>
      <x:c r="E76" s="524"/>
      <x:c r="F76" s="524"/>
      <x:c r="G76" s="524"/>
      <x:c r="H76" s="538" t="n"/>
      <x:c r="I76" s="524" t="str">
        <x:f>IF(A76="","",COUNTIF('7_Đơn hàng'!$G$4:$G$303,A76))</x:f>
      </x:c>
      <x:c r="J76" s="551" t="str">
        <x:f>IF(A76="","",SUMIF('7_Đơn hàng'!$G$4:$G$303,A76,'7_Đơn hàng'!$J$4:$J$303))</x:f>
      </x:c>
      <x:c r="K76" s="551" t="str">
        <x:f>IF(A76="","",SUMIF('7_Đơn hàng'!$G$4:$G$303,A76,'7_Đơn hàng'!$T$4:$T$303))</x:f>
      </x:c>
      <x:c r="L76" s="524"/>
    </x:row>
    <x:row r="77">
      <x:c r="A77" s="524"/>
      <x:c r="B77" s="524"/>
      <x:c r="C77" s="524"/>
      <x:c r="D77" s="524"/>
      <x:c r="E77" s="524"/>
      <x:c r="F77" s="524"/>
      <x:c r="G77" s="524"/>
      <x:c r="H77" s="538" t="n"/>
      <x:c r="I77" s="524" t="str">
        <x:f>IF(A77="","",COUNTIF('7_Đơn hàng'!$G$4:$G$303,A77))</x:f>
      </x:c>
      <x:c r="J77" s="551" t="str">
        <x:f>IF(A77="","",SUMIF('7_Đơn hàng'!$G$4:$G$303,A77,'7_Đơn hàng'!$J$4:$J$303))</x:f>
      </x:c>
      <x:c r="K77" s="551" t="str">
        <x:f>IF(A77="","",SUMIF('7_Đơn hàng'!$G$4:$G$303,A77,'7_Đơn hàng'!$T$4:$T$303))</x:f>
      </x:c>
      <x:c r="L77" s="524"/>
    </x:row>
    <x:row r="78">
      <x:c r="A78" s="524"/>
      <x:c r="B78" s="524"/>
      <x:c r="C78" s="524"/>
      <x:c r="D78" s="524"/>
      <x:c r="E78" s="524"/>
      <x:c r="F78" s="524"/>
      <x:c r="G78" s="524"/>
      <x:c r="H78" s="538" t="n"/>
      <x:c r="I78" s="524" t="str">
        <x:f>IF(A78="","",COUNTIF('7_Đơn hàng'!$G$4:$G$303,A78))</x:f>
      </x:c>
      <x:c r="J78" s="551" t="str">
        <x:f>IF(A78="","",SUMIF('7_Đơn hàng'!$G$4:$G$303,A78,'7_Đơn hàng'!$J$4:$J$303))</x:f>
      </x:c>
      <x:c r="K78" s="551" t="str">
        <x:f>IF(A78="","",SUMIF('7_Đơn hàng'!$G$4:$G$303,A78,'7_Đơn hàng'!$T$4:$T$303))</x:f>
      </x:c>
      <x:c r="L78" s="524"/>
    </x:row>
    <x:row r="79">
      <x:c r="A79" s="524"/>
      <x:c r="B79" s="524"/>
      <x:c r="C79" s="524"/>
      <x:c r="D79" s="524"/>
      <x:c r="E79" s="524"/>
      <x:c r="F79" s="524"/>
      <x:c r="G79" s="524"/>
      <x:c r="H79" s="538" t="n"/>
      <x:c r="I79" s="524" t="str">
        <x:f>IF(A79="","",COUNTIF('7_Đơn hàng'!$G$4:$G$303,A79))</x:f>
      </x:c>
      <x:c r="J79" s="551" t="str">
        <x:f>IF(A79="","",SUMIF('7_Đơn hàng'!$G$4:$G$303,A79,'7_Đơn hàng'!$J$4:$J$303))</x:f>
      </x:c>
      <x:c r="K79" s="551" t="str">
        <x:f>IF(A79="","",SUMIF('7_Đơn hàng'!$G$4:$G$303,A79,'7_Đơn hàng'!$T$4:$T$303))</x:f>
      </x:c>
      <x:c r="L79" s="524"/>
    </x:row>
    <x:row r="80">
      <x:c r="A80" s="524"/>
      <x:c r="B80" s="524"/>
      <x:c r="C80" s="524"/>
      <x:c r="D80" s="524"/>
      <x:c r="E80" s="524"/>
      <x:c r="F80" s="524"/>
      <x:c r="G80" s="524"/>
      <x:c r="H80" s="538" t="n"/>
      <x:c r="I80" s="524" t="str">
        <x:f>IF(A80="","",COUNTIF('7_Đơn hàng'!$G$4:$G$303,A80))</x:f>
      </x:c>
      <x:c r="J80" s="551" t="str">
        <x:f>IF(A80="","",SUMIF('7_Đơn hàng'!$G$4:$G$303,A80,'7_Đơn hàng'!$J$4:$J$303))</x:f>
      </x:c>
      <x:c r="K80" s="551" t="str">
        <x:f>IF(A80="","",SUMIF('7_Đơn hàng'!$G$4:$G$303,A80,'7_Đơn hàng'!$T$4:$T$303))</x:f>
      </x:c>
      <x:c r="L80" s="524"/>
    </x:row>
    <x:row r="81">
      <x:c r="A81" s="524"/>
      <x:c r="B81" s="524"/>
      <x:c r="C81" s="524"/>
      <x:c r="D81" s="524"/>
      <x:c r="E81" s="524"/>
      <x:c r="F81" s="524"/>
      <x:c r="G81" s="524"/>
      <x:c r="H81" s="538" t="n"/>
      <x:c r="I81" s="524" t="str">
        <x:f>IF(A81="","",COUNTIF('7_Đơn hàng'!$G$4:$G$303,A81))</x:f>
      </x:c>
      <x:c r="J81" s="551" t="str">
        <x:f>IF(A81="","",SUMIF('7_Đơn hàng'!$G$4:$G$303,A81,'7_Đơn hàng'!$J$4:$J$303))</x:f>
      </x:c>
      <x:c r="K81" s="551" t="str">
        <x:f>IF(A81="","",SUMIF('7_Đơn hàng'!$G$4:$G$303,A81,'7_Đơn hàng'!$T$4:$T$303))</x:f>
      </x:c>
      <x:c r="L81" s="524"/>
    </x:row>
    <x:row r="82">
      <x:c r="A82" s="524"/>
      <x:c r="B82" s="524"/>
      <x:c r="C82" s="524"/>
      <x:c r="D82" s="524"/>
      <x:c r="E82" s="524"/>
      <x:c r="F82" s="524"/>
      <x:c r="G82" s="524"/>
      <x:c r="H82" s="538" t="n"/>
      <x:c r="I82" s="524" t="str">
        <x:f>IF(A82="","",COUNTIF('7_Đơn hàng'!$G$4:$G$303,A82))</x:f>
      </x:c>
      <x:c r="J82" s="551" t="str">
        <x:f>IF(A82="","",SUMIF('7_Đơn hàng'!$G$4:$G$303,A82,'7_Đơn hàng'!$J$4:$J$303))</x:f>
      </x:c>
      <x:c r="K82" s="551" t="str">
        <x:f>IF(A82="","",SUMIF('7_Đơn hàng'!$G$4:$G$303,A82,'7_Đơn hàng'!$T$4:$T$303))</x:f>
      </x:c>
      <x:c r="L82" s="524"/>
    </x:row>
    <x:row r="83">
      <x:c r="A83" s="524"/>
      <x:c r="B83" s="524"/>
      <x:c r="C83" s="524"/>
      <x:c r="D83" s="524"/>
      <x:c r="E83" s="524"/>
      <x:c r="F83" s="524"/>
      <x:c r="G83" s="524"/>
      <x:c r="H83" s="538" t="n"/>
      <x:c r="I83" s="524" t="str">
        <x:f>IF(A83="","",COUNTIF('7_Đơn hàng'!$G$4:$G$303,A83))</x:f>
      </x:c>
      <x:c r="J83" s="551" t="str">
        <x:f>IF(A83="","",SUMIF('7_Đơn hàng'!$G$4:$G$303,A83,'7_Đơn hàng'!$J$4:$J$303))</x:f>
      </x:c>
      <x:c r="K83" s="551" t="str">
        <x:f>IF(A83="","",SUMIF('7_Đơn hàng'!$G$4:$G$303,A83,'7_Đơn hàng'!$T$4:$T$303))</x:f>
      </x:c>
      <x:c r="L83" s="524"/>
    </x:row>
    <x:row r="84">
      <x:c r="A84" s="524"/>
      <x:c r="B84" s="524"/>
      <x:c r="C84" s="524"/>
      <x:c r="D84" s="524"/>
      <x:c r="E84" s="524"/>
      <x:c r="F84" s="524"/>
      <x:c r="G84" s="524"/>
      <x:c r="H84" s="538" t="n"/>
      <x:c r="I84" s="524" t="str">
        <x:f>IF(A84="","",COUNTIF('7_Đơn hàng'!$G$4:$G$303,A84))</x:f>
      </x:c>
      <x:c r="J84" s="551" t="str">
        <x:f>IF(A84="","",SUMIF('7_Đơn hàng'!$G$4:$G$303,A84,'7_Đơn hàng'!$J$4:$J$303))</x:f>
      </x:c>
      <x:c r="K84" s="551" t="str">
        <x:f>IF(A84="","",SUMIF('7_Đơn hàng'!$G$4:$G$303,A84,'7_Đơn hàng'!$T$4:$T$303))</x:f>
      </x:c>
      <x:c r="L84" s="524"/>
    </x:row>
    <x:row r="85">
      <x:c r="A85" s="524"/>
      <x:c r="B85" s="524"/>
      <x:c r="C85" s="524"/>
      <x:c r="D85" s="524"/>
      <x:c r="E85" s="524"/>
      <x:c r="F85" s="524"/>
      <x:c r="G85" s="524"/>
      <x:c r="H85" s="538" t="n"/>
      <x:c r="I85" s="524" t="str">
        <x:f>IF(A85="","",COUNTIF('7_Đơn hàng'!$G$4:$G$303,A85))</x:f>
      </x:c>
      <x:c r="J85" s="551" t="str">
        <x:f>IF(A85="","",SUMIF('7_Đơn hàng'!$G$4:$G$303,A85,'7_Đơn hàng'!$J$4:$J$303))</x:f>
      </x:c>
      <x:c r="K85" s="551" t="str">
        <x:f>IF(A85="","",SUMIF('7_Đơn hàng'!$G$4:$G$303,A85,'7_Đơn hàng'!$T$4:$T$303))</x:f>
      </x:c>
      <x:c r="L85" s="524"/>
    </x:row>
    <x:row r="86">
      <x:c r="A86" s="524"/>
      <x:c r="B86" s="524"/>
      <x:c r="C86" s="524"/>
      <x:c r="D86" s="524"/>
      <x:c r="E86" s="524"/>
      <x:c r="F86" s="524"/>
      <x:c r="G86" s="524"/>
      <x:c r="H86" s="538" t="n"/>
      <x:c r="I86" s="524" t="str">
        <x:f>IF(A86="","",COUNTIF('7_Đơn hàng'!$G$4:$G$303,A86))</x:f>
      </x:c>
      <x:c r="J86" s="551" t="str">
        <x:f>IF(A86="","",SUMIF('7_Đơn hàng'!$G$4:$G$303,A86,'7_Đơn hàng'!$J$4:$J$303))</x:f>
      </x:c>
      <x:c r="K86" s="551" t="str">
        <x:f>IF(A86="","",SUMIF('7_Đơn hàng'!$G$4:$G$303,A86,'7_Đơn hàng'!$T$4:$T$303))</x:f>
      </x:c>
      <x:c r="L86" s="524"/>
    </x:row>
    <x:row r="87">
      <x:c r="A87" s="524"/>
      <x:c r="B87" s="524"/>
      <x:c r="C87" s="524"/>
      <x:c r="D87" s="524"/>
      <x:c r="E87" s="524"/>
      <x:c r="F87" s="524"/>
      <x:c r="G87" s="524"/>
      <x:c r="H87" s="538" t="n"/>
      <x:c r="I87" s="524" t="str">
        <x:f>IF(A87="","",COUNTIF('7_Đơn hàng'!$G$4:$G$303,A87))</x:f>
      </x:c>
      <x:c r="J87" s="551" t="str">
        <x:f>IF(A87="","",SUMIF('7_Đơn hàng'!$G$4:$G$303,A87,'7_Đơn hàng'!$J$4:$J$303))</x:f>
      </x:c>
      <x:c r="K87" s="551" t="str">
        <x:f>IF(A87="","",SUMIF('7_Đơn hàng'!$G$4:$G$303,A87,'7_Đơn hàng'!$T$4:$T$303))</x:f>
      </x:c>
      <x:c r="L87" s="524"/>
    </x:row>
    <x:row r="88">
      <x:c r="A88" s="524"/>
      <x:c r="B88" s="524"/>
      <x:c r="C88" s="524"/>
      <x:c r="D88" s="524"/>
      <x:c r="E88" s="524"/>
      <x:c r="F88" s="524"/>
      <x:c r="G88" s="524"/>
      <x:c r="H88" s="538" t="n"/>
      <x:c r="I88" s="524" t="str">
        <x:f>IF(A88="","",COUNTIF('7_Đơn hàng'!$G$4:$G$303,A88))</x:f>
      </x:c>
      <x:c r="J88" s="551" t="str">
        <x:f>IF(A88="","",SUMIF('7_Đơn hàng'!$G$4:$G$303,A88,'7_Đơn hàng'!$J$4:$J$303))</x:f>
      </x:c>
      <x:c r="K88" s="551" t="str">
        <x:f>IF(A88="","",SUMIF('7_Đơn hàng'!$G$4:$G$303,A88,'7_Đơn hàng'!$T$4:$T$303))</x:f>
      </x:c>
      <x:c r="L88" s="524"/>
    </x:row>
    <x:row r="89">
      <x:c r="A89" s="524"/>
      <x:c r="B89" s="524"/>
      <x:c r="C89" s="524"/>
      <x:c r="D89" s="524"/>
      <x:c r="E89" s="524"/>
      <x:c r="F89" s="524"/>
      <x:c r="G89" s="524"/>
      <x:c r="H89" s="538" t="n"/>
      <x:c r="I89" s="524" t="str">
        <x:f>IF(A89="","",COUNTIF('7_Đơn hàng'!$G$4:$G$303,A89))</x:f>
      </x:c>
      <x:c r="J89" s="551" t="str">
        <x:f>IF(A89="","",SUMIF('7_Đơn hàng'!$G$4:$G$303,A89,'7_Đơn hàng'!$J$4:$J$303))</x:f>
      </x:c>
      <x:c r="K89" s="551" t="str">
        <x:f>IF(A89="","",SUMIF('7_Đơn hàng'!$G$4:$G$303,A89,'7_Đơn hàng'!$T$4:$T$303))</x:f>
      </x:c>
      <x:c r="L89" s="524"/>
    </x:row>
    <x:row r="90">
      <x:c r="A90" s="524"/>
      <x:c r="B90" s="524"/>
      <x:c r="C90" s="524"/>
      <x:c r="D90" s="524"/>
      <x:c r="E90" s="524"/>
      <x:c r="F90" s="524"/>
      <x:c r="G90" s="524"/>
      <x:c r="H90" s="538" t="n"/>
      <x:c r="I90" s="524" t="str">
        <x:f>IF(A90="","",COUNTIF('7_Đơn hàng'!$G$4:$G$303,A90))</x:f>
      </x:c>
      <x:c r="J90" s="551" t="str">
        <x:f>IF(A90="","",SUMIF('7_Đơn hàng'!$G$4:$G$303,A90,'7_Đơn hàng'!$J$4:$J$303))</x:f>
      </x:c>
      <x:c r="K90" s="551" t="str">
        <x:f>IF(A90="","",SUMIF('7_Đơn hàng'!$G$4:$G$303,A90,'7_Đơn hàng'!$T$4:$T$303))</x:f>
      </x:c>
      <x:c r="L90" s="524"/>
    </x:row>
    <x:row r="91">
      <x:c r="A91" s="524"/>
      <x:c r="B91" s="524"/>
      <x:c r="C91" s="524"/>
      <x:c r="D91" s="524"/>
      <x:c r="E91" s="524"/>
      <x:c r="F91" s="524"/>
      <x:c r="G91" s="524"/>
      <x:c r="H91" s="538" t="n"/>
      <x:c r="I91" s="524" t="str">
        <x:f>IF(A91="","",COUNTIF('7_Đơn hàng'!$G$4:$G$303,A91))</x:f>
      </x:c>
      <x:c r="J91" s="551" t="str">
        <x:f>IF(A91="","",SUMIF('7_Đơn hàng'!$G$4:$G$303,A91,'7_Đơn hàng'!$J$4:$J$303))</x:f>
      </x:c>
      <x:c r="K91" s="551" t="str">
        <x:f>IF(A91="","",SUMIF('7_Đơn hàng'!$G$4:$G$303,A91,'7_Đơn hàng'!$T$4:$T$303))</x:f>
      </x:c>
      <x:c r="L91" s="524"/>
    </x:row>
    <x:row r="92">
      <x:c r="A92" s="524"/>
      <x:c r="B92" s="524"/>
      <x:c r="C92" s="524"/>
      <x:c r="D92" s="524"/>
      <x:c r="E92" s="524"/>
      <x:c r="F92" s="524"/>
      <x:c r="G92" s="524"/>
      <x:c r="H92" s="538" t="n"/>
      <x:c r="I92" s="524" t="str">
        <x:f>IF(A92="","",COUNTIF('7_Đơn hàng'!$G$4:$G$303,A92))</x:f>
      </x:c>
      <x:c r="J92" s="551" t="str">
        <x:f>IF(A92="","",SUMIF('7_Đơn hàng'!$G$4:$G$303,A92,'7_Đơn hàng'!$J$4:$J$303))</x:f>
      </x:c>
      <x:c r="K92" s="551" t="str">
        <x:f>IF(A92="","",SUMIF('7_Đơn hàng'!$G$4:$G$303,A92,'7_Đơn hàng'!$T$4:$T$303))</x:f>
      </x:c>
      <x:c r="L92" s="524"/>
    </x:row>
    <x:row r="93">
      <x:c r="A93" s="524"/>
      <x:c r="B93" s="524"/>
      <x:c r="C93" s="524"/>
      <x:c r="D93" s="524"/>
      <x:c r="E93" s="524"/>
      <x:c r="F93" s="524"/>
      <x:c r="G93" s="524"/>
      <x:c r="H93" s="538" t="n"/>
      <x:c r="I93" s="524" t="str">
        <x:f>IF(A93="","",COUNTIF('7_Đơn hàng'!$G$4:$G$303,A93))</x:f>
      </x:c>
      <x:c r="J93" s="551" t="str">
        <x:f>IF(A93="","",SUMIF('7_Đơn hàng'!$G$4:$G$303,A93,'7_Đơn hàng'!$J$4:$J$303))</x:f>
      </x:c>
      <x:c r="K93" s="551" t="str">
        <x:f>IF(A93="","",SUMIF('7_Đơn hàng'!$G$4:$G$303,A93,'7_Đơn hàng'!$T$4:$T$303))</x:f>
      </x:c>
      <x:c r="L93" s="524"/>
    </x:row>
    <x:row r="94">
      <x:c r="A94" s="524"/>
      <x:c r="B94" s="524"/>
      <x:c r="C94" s="524"/>
      <x:c r="D94" s="524"/>
      <x:c r="E94" s="524"/>
      <x:c r="F94" s="524"/>
      <x:c r="G94" s="524"/>
      <x:c r="H94" s="538" t="n"/>
      <x:c r="I94" s="524" t="str">
        <x:f>IF(A94="","",COUNTIF('7_Đơn hàng'!$G$4:$G$303,A94))</x:f>
      </x:c>
      <x:c r="J94" s="551" t="str">
        <x:f>IF(A94="","",SUMIF('7_Đơn hàng'!$G$4:$G$303,A94,'7_Đơn hàng'!$J$4:$J$303))</x:f>
      </x:c>
      <x:c r="K94" s="551" t="str">
        <x:f>IF(A94="","",SUMIF('7_Đơn hàng'!$G$4:$G$303,A94,'7_Đơn hàng'!$T$4:$T$303))</x:f>
      </x:c>
      <x:c r="L94" s="524"/>
    </x:row>
    <x:row r="95">
      <x:c r="A95" s="524"/>
      <x:c r="B95" s="524"/>
      <x:c r="C95" s="524"/>
      <x:c r="D95" s="524"/>
      <x:c r="E95" s="524"/>
      <x:c r="F95" s="524"/>
      <x:c r="G95" s="524"/>
      <x:c r="H95" s="538" t="n"/>
      <x:c r="I95" s="524" t="str">
        <x:f>IF(A95="","",COUNTIF('7_Đơn hàng'!$G$4:$G$303,A95))</x:f>
      </x:c>
      <x:c r="J95" s="551" t="str">
        <x:f>IF(A95="","",SUMIF('7_Đơn hàng'!$G$4:$G$303,A95,'7_Đơn hàng'!$J$4:$J$303))</x:f>
      </x:c>
      <x:c r="K95" s="551" t="str">
        <x:f>IF(A95="","",SUMIF('7_Đơn hàng'!$G$4:$G$303,A95,'7_Đơn hàng'!$T$4:$T$303))</x:f>
      </x:c>
      <x:c r="L95" s="524"/>
    </x:row>
    <x:row r="96">
      <x:c r="A96" s="524"/>
      <x:c r="B96" s="524"/>
      <x:c r="C96" s="524"/>
      <x:c r="D96" s="524"/>
      <x:c r="E96" s="524"/>
      <x:c r="F96" s="524"/>
      <x:c r="G96" s="524"/>
      <x:c r="H96" s="538" t="n"/>
      <x:c r="I96" s="524" t="str">
        <x:f>IF(A96="","",COUNTIF('7_Đơn hàng'!$G$4:$G$303,A96))</x:f>
      </x:c>
      <x:c r="J96" s="551" t="str">
        <x:f>IF(A96="","",SUMIF('7_Đơn hàng'!$G$4:$G$303,A96,'7_Đơn hàng'!$J$4:$J$303))</x:f>
      </x:c>
      <x:c r="K96" s="551" t="str">
        <x:f>IF(A96="","",SUMIF('7_Đơn hàng'!$G$4:$G$303,A96,'7_Đơn hàng'!$T$4:$T$303))</x:f>
      </x:c>
      <x:c r="L96" s="524"/>
    </x:row>
    <x:row r="97">
      <x:c r="A97" s="524"/>
      <x:c r="B97" s="524"/>
      <x:c r="C97" s="524"/>
      <x:c r="D97" s="524"/>
      <x:c r="E97" s="524"/>
      <x:c r="F97" s="524"/>
      <x:c r="G97" s="524"/>
      <x:c r="H97" s="538" t="n"/>
      <x:c r="I97" s="524" t="str">
        <x:f>IF(A97="","",COUNTIF('7_Đơn hàng'!$G$4:$G$303,A97))</x:f>
      </x:c>
      <x:c r="J97" s="551" t="str">
        <x:f>IF(A97="","",SUMIF('7_Đơn hàng'!$G$4:$G$303,A97,'7_Đơn hàng'!$J$4:$J$303))</x:f>
      </x:c>
      <x:c r="K97" s="551" t="str">
        <x:f>IF(A97="","",SUMIF('7_Đơn hàng'!$G$4:$G$303,A97,'7_Đơn hàng'!$T$4:$T$303))</x:f>
      </x:c>
      <x:c r="L97" s="524"/>
    </x:row>
    <x:row r="98">
      <x:c r="A98" s="524"/>
      <x:c r="B98" s="524"/>
      <x:c r="C98" s="524"/>
      <x:c r="D98" s="524"/>
      <x:c r="E98" s="524"/>
      <x:c r="F98" s="524"/>
      <x:c r="G98" s="524"/>
      <x:c r="H98" s="538" t="n"/>
      <x:c r="I98" s="524" t="str">
        <x:f>IF(A98="","",COUNTIF('7_Đơn hàng'!$G$4:$G$303,A98))</x:f>
      </x:c>
      <x:c r="J98" s="551" t="str">
        <x:f>IF(A98="","",SUMIF('7_Đơn hàng'!$G$4:$G$303,A98,'7_Đơn hàng'!$J$4:$J$303))</x:f>
      </x:c>
      <x:c r="K98" s="551" t="str">
        <x:f>IF(A98="","",SUMIF('7_Đơn hàng'!$G$4:$G$303,A98,'7_Đơn hàng'!$T$4:$T$303))</x:f>
      </x:c>
      <x:c r="L98" s="524"/>
    </x:row>
    <x:row r="99">
      <x:c r="A99" s="524"/>
      <x:c r="B99" s="524"/>
      <x:c r="C99" s="524"/>
      <x:c r="D99" s="524"/>
      <x:c r="E99" s="524"/>
      <x:c r="F99" s="524"/>
      <x:c r="G99" s="524"/>
      <x:c r="H99" s="538" t="n"/>
      <x:c r="I99" s="524" t="str">
        <x:f>IF(A99="","",COUNTIF('7_Đơn hàng'!$G$4:$G$303,A99))</x:f>
      </x:c>
      <x:c r="J99" s="551" t="str">
        <x:f>IF(A99="","",SUMIF('7_Đơn hàng'!$G$4:$G$303,A99,'7_Đơn hàng'!$J$4:$J$303))</x:f>
      </x:c>
      <x:c r="K99" s="551" t="str">
        <x:f>IF(A99="","",SUMIF('7_Đơn hàng'!$G$4:$G$303,A99,'7_Đơn hàng'!$T$4:$T$303))</x:f>
      </x:c>
      <x:c r="L99" s="524"/>
    </x:row>
    <x:row r="100">
      <x:c r="A100" s="524"/>
      <x:c r="B100" s="524"/>
      <x:c r="C100" s="524"/>
      <x:c r="D100" s="524"/>
      <x:c r="E100" s="524"/>
      <x:c r="F100" s="524"/>
      <x:c r="G100" s="524"/>
      <x:c r="H100" s="538" t="n"/>
      <x:c r="I100" s="524" t="str">
        <x:f>IF(A100="","",COUNTIF('7_Đơn hàng'!$G$4:$G$303,A100))</x:f>
      </x:c>
      <x:c r="J100" s="551" t="str">
        <x:f>IF(A100="","",SUMIF('7_Đơn hàng'!$G$4:$G$303,A100,'7_Đơn hàng'!$J$4:$J$303))</x:f>
      </x:c>
      <x:c r="K100" s="551" t="str">
        <x:f>IF(A100="","",SUMIF('7_Đơn hàng'!$G$4:$G$303,A100,'7_Đơn hàng'!$T$4:$T$303))</x:f>
      </x:c>
      <x:c r="L100" s="524"/>
    </x:row>
    <x:row r="101">
      <x:c r="A101" s="524"/>
      <x:c r="B101" s="524"/>
      <x:c r="C101" s="524"/>
      <x:c r="D101" s="524"/>
      <x:c r="E101" s="524"/>
      <x:c r="F101" s="524"/>
      <x:c r="G101" s="524"/>
      <x:c r="H101" s="538" t="n"/>
      <x:c r="I101" s="524" t="str">
        <x:f>IF(A101="","",COUNTIF('7_Đơn hàng'!$G$4:$G$303,A101))</x:f>
      </x:c>
      <x:c r="J101" s="551" t="str">
        <x:f>IF(A101="","",SUMIF('7_Đơn hàng'!$G$4:$G$303,A101,'7_Đơn hàng'!$J$4:$J$303))</x:f>
      </x:c>
      <x:c r="K101" s="551" t="str">
        <x:f>IF(A101="","",SUMIF('7_Đơn hàng'!$G$4:$G$303,A101,'7_Đơn hàng'!$T$4:$T$303))</x:f>
      </x:c>
      <x:c r="L101" s="524"/>
    </x:row>
    <x:row r="102">
      <x:c r="A102" s="524"/>
      <x:c r="B102" s="524"/>
      <x:c r="C102" s="524"/>
      <x:c r="D102" s="524"/>
      <x:c r="E102" s="524"/>
      <x:c r="F102" s="524"/>
      <x:c r="G102" s="524"/>
      <x:c r="H102" s="538" t="n"/>
      <x:c r="I102" s="524" t="str">
        <x:f>IF(A102="","",COUNTIF('7_Đơn hàng'!$G$4:$G$303,A102))</x:f>
      </x:c>
      <x:c r="J102" s="551" t="str">
        <x:f>IF(A102="","",SUMIF('7_Đơn hàng'!$G$4:$G$303,A102,'7_Đơn hàng'!$J$4:$J$303))</x:f>
      </x:c>
      <x:c r="K102" s="551" t="str">
        <x:f>IF(A102="","",SUMIF('7_Đơn hàng'!$G$4:$G$303,A102,'7_Đơn hàng'!$T$4:$T$303))</x:f>
      </x:c>
      <x:c r="L102" s="524"/>
    </x:row>
    <x:row r="103">
      <x:c r="A103" s="524"/>
      <x:c r="B103" s="524"/>
      <x:c r="C103" s="524"/>
      <x:c r="D103" s="524"/>
      <x:c r="E103" s="524"/>
      <x:c r="F103" s="524"/>
      <x:c r="G103" s="524"/>
      <x:c r="H103" s="538" t="n"/>
      <x:c r="I103" s="524" t="str">
        <x:f>IF(A103="","",COUNTIF('7_Đơn hàng'!$G$4:$G$303,A103))</x:f>
      </x:c>
      <x:c r="J103" s="551" t="str">
        <x:f>IF(A103="","",SUMIF('7_Đơn hàng'!$G$4:$G$303,A103,'7_Đơn hàng'!$J$4:$J$303))</x:f>
      </x:c>
      <x:c r="K103" s="551" t="str">
        <x:f>IF(A103="","",SUMIF('7_Đơn hàng'!$G$4:$G$303,A103,'7_Đơn hàng'!$T$4:$T$303))</x:f>
      </x:c>
      <x:c r="L103" s="524"/>
    </x:row>
    <x:row r="104">
      <x:c r="A104" s="524"/>
      <x:c r="B104" s="524"/>
      <x:c r="C104" s="524"/>
      <x:c r="D104" s="524"/>
      <x:c r="E104" s="524"/>
      <x:c r="F104" s="524"/>
      <x:c r="G104" s="524"/>
      <x:c r="H104" s="538" t="n"/>
      <x:c r="I104" s="524" t="str">
        <x:f>IF(A104="","",COUNTIF('7_Đơn hàng'!$G$4:$G$303,A104))</x:f>
      </x:c>
      <x:c r="J104" s="551" t="str">
        <x:f>IF(A104="","",SUMIF('7_Đơn hàng'!$G$4:$G$303,A104,'7_Đơn hàng'!$J$4:$J$303))</x:f>
      </x:c>
      <x:c r="K104" s="551" t="str">
        <x:f>IF(A104="","",SUMIF('7_Đơn hàng'!$G$4:$G$303,A104,'7_Đơn hàng'!$T$4:$T$303))</x:f>
      </x:c>
      <x:c r="L104" s="524"/>
    </x:row>
    <x:row r="105">
      <x:c r="A105" s="524"/>
      <x:c r="B105" s="524"/>
      <x:c r="C105" s="524"/>
      <x:c r="D105" s="524"/>
      <x:c r="E105" s="524"/>
      <x:c r="F105" s="524"/>
      <x:c r="G105" s="524"/>
      <x:c r="H105" s="538" t="n"/>
      <x:c r="I105" s="524" t="str">
        <x:f>IF(A105="","",COUNTIF('7_Đơn hàng'!$G$4:$G$303,A105))</x:f>
      </x:c>
      <x:c r="J105" s="551" t="str">
        <x:f>IF(A105="","",SUMIF('7_Đơn hàng'!$G$4:$G$303,A105,'7_Đơn hàng'!$J$4:$J$303))</x:f>
      </x:c>
      <x:c r="K105" s="551" t="str">
        <x:f>IF(A105="","",SUMIF('7_Đơn hàng'!$G$4:$G$303,A105,'7_Đơn hàng'!$T$4:$T$303))</x:f>
      </x:c>
      <x:c r="L105" s="524"/>
    </x:row>
    <x:row r="106">
      <x:c r="A106" s="524"/>
      <x:c r="B106" s="524"/>
      <x:c r="C106" s="524"/>
      <x:c r="D106" s="524"/>
      <x:c r="E106" s="524"/>
      <x:c r="F106" s="524"/>
      <x:c r="G106" s="524"/>
      <x:c r="H106" s="538" t="n"/>
      <x:c r="I106" s="524" t="str">
        <x:f>IF(A106="","",COUNTIF('7_Đơn hàng'!$G$4:$G$303,A106))</x:f>
      </x:c>
      <x:c r="J106" s="551" t="str">
        <x:f>IF(A106="","",SUMIF('7_Đơn hàng'!$G$4:$G$303,A106,'7_Đơn hàng'!$J$4:$J$303))</x:f>
      </x:c>
      <x:c r="K106" s="551" t="str">
        <x:f>IF(A106="","",SUMIF('7_Đơn hàng'!$G$4:$G$303,A106,'7_Đơn hàng'!$T$4:$T$303))</x:f>
      </x:c>
      <x:c r="L106" s="524"/>
    </x:row>
    <x:row r="107">
      <x:c r="A107" s="524"/>
      <x:c r="B107" s="524"/>
      <x:c r="C107" s="524"/>
      <x:c r="D107" s="524"/>
      <x:c r="E107" s="524"/>
      <x:c r="F107" s="524"/>
      <x:c r="G107" s="524"/>
      <x:c r="H107" s="538" t="n"/>
      <x:c r="I107" s="524" t="str">
        <x:f>IF(A107="","",COUNTIF('7_Đơn hàng'!$G$4:$G$303,A107))</x:f>
      </x:c>
      <x:c r="J107" s="551" t="str">
        <x:f>IF(A107="","",SUMIF('7_Đơn hàng'!$G$4:$G$303,A107,'7_Đơn hàng'!$J$4:$J$303))</x:f>
      </x:c>
      <x:c r="K107" s="551" t="str">
        <x:f>IF(A107="","",SUMIF('7_Đơn hàng'!$G$4:$G$303,A107,'7_Đơn hàng'!$T$4:$T$303))</x:f>
      </x:c>
      <x:c r="L107" s="524"/>
    </x:row>
    <x:row r="108">
      <x:c r="A108" s="524"/>
      <x:c r="B108" s="524"/>
      <x:c r="C108" s="524"/>
      <x:c r="D108" s="524"/>
      <x:c r="E108" s="524"/>
      <x:c r="F108" s="524"/>
      <x:c r="G108" s="524"/>
      <x:c r="H108" s="538" t="n"/>
      <x:c r="I108" s="524" t="str">
        <x:f>IF(A108="","",COUNTIF('7_Đơn hàng'!$G$4:$G$303,A108))</x:f>
      </x:c>
      <x:c r="J108" s="551" t="str">
        <x:f>IF(A108="","",SUMIF('7_Đơn hàng'!$G$4:$G$303,A108,'7_Đơn hàng'!$J$4:$J$303))</x:f>
      </x:c>
      <x:c r="K108" s="551" t="str">
        <x:f>IF(A108="","",SUMIF('7_Đơn hàng'!$G$4:$G$303,A108,'7_Đơn hàng'!$T$4:$T$303))</x:f>
      </x:c>
      <x:c r="L108" s="524"/>
    </x:row>
    <x:row r="109">
      <x:c r="A109" s="524"/>
      <x:c r="B109" s="524"/>
      <x:c r="C109" s="524"/>
      <x:c r="D109" s="524"/>
      <x:c r="E109" s="524"/>
      <x:c r="F109" s="524"/>
      <x:c r="G109" s="524"/>
      <x:c r="H109" s="538" t="n"/>
      <x:c r="I109" s="524" t="str">
        <x:f>IF(A109="","",COUNTIF('7_Đơn hàng'!$G$4:$G$303,A109))</x:f>
      </x:c>
      <x:c r="J109" s="551" t="str">
        <x:f>IF(A109="","",SUMIF('7_Đơn hàng'!$G$4:$G$303,A109,'7_Đơn hàng'!$J$4:$J$303))</x:f>
      </x:c>
      <x:c r="K109" s="551" t="str">
        <x:f>IF(A109="","",SUMIF('7_Đơn hàng'!$G$4:$G$303,A109,'7_Đơn hàng'!$T$4:$T$303))</x:f>
      </x:c>
      <x:c r="L109" s="524"/>
    </x:row>
    <x:row r="110">
      <x:c r="A110" s="524"/>
      <x:c r="B110" s="524"/>
      <x:c r="C110" s="524"/>
      <x:c r="D110" s="524"/>
      <x:c r="E110" s="524"/>
      <x:c r="F110" s="524"/>
      <x:c r="G110" s="524"/>
      <x:c r="H110" s="538" t="n"/>
      <x:c r="I110" s="524" t="str">
        <x:f>IF(A110="","",COUNTIF('7_Đơn hàng'!$G$4:$G$303,A110))</x:f>
      </x:c>
      <x:c r="J110" s="551" t="str">
        <x:f>IF(A110="","",SUMIF('7_Đơn hàng'!$G$4:$G$303,A110,'7_Đơn hàng'!$J$4:$J$303))</x:f>
      </x:c>
      <x:c r="K110" s="551" t="str">
        <x:f>IF(A110="","",SUMIF('7_Đơn hàng'!$G$4:$G$303,A110,'7_Đơn hàng'!$T$4:$T$303))</x:f>
      </x:c>
      <x:c r="L110" s="524"/>
    </x:row>
    <x:row r="111">
      <x:c r="A111" s="524"/>
      <x:c r="B111" s="524"/>
      <x:c r="C111" s="524"/>
      <x:c r="D111" s="524"/>
      <x:c r="E111" s="524"/>
      <x:c r="F111" s="524"/>
      <x:c r="G111" s="524"/>
      <x:c r="H111" s="538" t="n"/>
      <x:c r="I111" s="524" t="str">
        <x:f>IF(A111="","",COUNTIF('7_Đơn hàng'!$G$4:$G$303,A111))</x:f>
      </x:c>
      <x:c r="J111" s="551" t="str">
        <x:f>IF(A111="","",SUMIF('7_Đơn hàng'!$G$4:$G$303,A111,'7_Đơn hàng'!$J$4:$J$303))</x:f>
      </x:c>
      <x:c r="K111" s="551" t="str">
        <x:f>IF(A111="","",SUMIF('7_Đơn hàng'!$G$4:$G$303,A111,'7_Đơn hàng'!$T$4:$T$303))</x:f>
      </x:c>
      <x:c r="L111" s="524"/>
    </x:row>
    <x:row r="112">
      <x:c r="A112" s="524"/>
      <x:c r="B112" s="524"/>
      <x:c r="C112" s="524"/>
      <x:c r="D112" s="524"/>
      <x:c r="E112" s="524"/>
      <x:c r="F112" s="524"/>
      <x:c r="G112" s="524"/>
      <x:c r="H112" s="538" t="n"/>
      <x:c r="I112" s="524" t="str">
        <x:f>IF(A112="","",COUNTIF('7_Đơn hàng'!$G$4:$G$303,A112))</x:f>
      </x:c>
      <x:c r="J112" s="551" t="str">
        <x:f>IF(A112="","",SUMIF('7_Đơn hàng'!$G$4:$G$303,A112,'7_Đơn hàng'!$J$4:$J$303))</x:f>
      </x:c>
      <x:c r="K112" s="551" t="str">
        <x:f>IF(A112="","",SUMIF('7_Đơn hàng'!$G$4:$G$303,A112,'7_Đơn hàng'!$T$4:$T$303))</x:f>
      </x:c>
      <x:c r="L112" s="524"/>
    </x:row>
    <x:row r="113">
      <x:c r="A113" s="524"/>
      <x:c r="B113" s="524"/>
      <x:c r="C113" s="524"/>
      <x:c r="D113" s="524"/>
      <x:c r="E113" s="524"/>
      <x:c r="F113" s="524"/>
      <x:c r="G113" s="524"/>
      <x:c r="H113" s="538" t="n"/>
      <x:c r="I113" s="524" t="str">
        <x:f>IF(A113="","",COUNTIF('7_Đơn hàng'!$G$4:$G$303,A113))</x:f>
      </x:c>
      <x:c r="J113" s="551" t="str">
        <x:f>IF(A113="","",SUMIF('7_Đơn hàng'!$G$4:$G$303,A113,'7_Đơn hàng'!$J$4:$J$303))</x:f>
      </x:c>
      <x:c r="K113" s="551" t="str">
        <x:f>IF(A113="","",SUMIF('7_Đơn hàng'!$G$4:$G$303,A113,'7_Đơn hàng'!$T$4:$T$303))</x:f>
      </x:c>
      <x:c r="L113" s="524"/>
    </x:row>
    <x:row r="114">
      <x:c r="A114" s="524"/>
      <x:c r="B114" s="524"/>
      <x:c r="C114" s="524"/>
      <x:c r="D114" s="524"/>
      <x:c r="E114" s="524"/>
      <x:c r="F114" s="524"/>
      <x:c r="G114" s="524"/>
      <x:c r="H114" s="538" t="n"/>
      <x:c r="I114" s="524" t="str">
        <x:f>IF(A114="","",COUNTIF('7_Đơn hàng'!$G$4:$G$303,A114))</x:f>
      </x:c>
      <x:c r="J114" s="551" t="str">
        <x:f>IF(A114="","",SUMIF('7_Đơn hàng'!$G$4:$G$303,A114,'7_Đơn hàng'!$J$4:$J$303))</x:f>
      </x:c>
      <x:c r="K114" s="551" t="str">
        <x:f>IF(A114="","",SUMIF('7_Đơn hàng'!$G$4:$G$303,A114,'7_Đơn hàng'!$T$4:$T$303))</x:f>
      </x:c>
      <x:c r="L114" s="524"/>
    </x:row>
    <x:row r="115">
      <x:c r="A115" s="524"/>
      <x:c r="B115" s="524"/>
      <x:c r="C115" s="524"/>
      <x:c r="D115" s="524"/>
      <x:c r="E115" s="524"/>
      <x:c r="F115" s="524"/>
      <x:c r="G115" s="524"/>
      <x:c r="H115" s="538" t="n"/>
      <x:c r="I115" s="524" t="str">
        <x:f>IF(A115="","",COUNTIF('7_Đơn hàng'!$G$4:$G$303,A115))</x:f>
      </x:c>
      <x:c r="J115" s="551" t="str">
        <x:f>IF(A115="","",SUMIF('7_Đơn hàng'!$G$4:$G$303,A115,'7_Đơn hàng'!$J$4:$J$303))</x:f>
      </x:c>
      <x:c r="K115" s="551" t="str">
        <x:f>IF(A115="","",SUMIF('7_Đơn hàng'!$G$4:$G$303,A115,'7_Đơn hàng'!$T$4:$T$303))</x:f>
      </x:c>
      <x:c r="L115" s="524"/>
    </x:row>
    <x:row r="116">
      <x:c r="A116" s="524"/>
      <x:c r="B116" s="524"/>
      <x:c r="C116" s="524"/>
      <x:c r="D116" s="524"/>
      <x:c r="E116" s="524"/>
      <x:c r="F116" s="524"/>
      <x:c r="G116" s="524"/>
      <x:c r="H116" s="538" t="n"/>
      <x:c r="I116" s="524" t="str">
        <x:f>IF(A116="","",COUNTIF('7_Đơn hàng'!$G$4:$G$303,A116))</x:f>
      </x:c>
      <x:c r="J116" s="551" t="str">
        <x:f>IF(A116="","",SUMIF('7_Đơn hàng'!$G$4:$G$303,A116,'7_Đơn hàng'!$J$4:$J$303))</x:f>
      </x:c>
      <x:c r="K116" s="551" t="str">
        <x:f>IF(A116="","",SUMIF('7_Đơn hàng'!$G$4:$G$303,A116,'7_Đơn hàng'!$T$4:$T$303))</x:f>
      </x:c>
      <x:c r="L116" s="524"/>
    </x:row>
    <x:row r="117">
      <x:c r="A117" s="524"/>
      <x:c r="B117" s="524"/>
      <x:c r="C117" s="524"/>
      <x:c r="D117" s="524"/>
      <x:c r="E117" s="524"/>
      <x:c r="F117" s="524"/>
      <x:c r="G117" s="524"/>
      <x:c r="H117" s="538" t="n"/>
      <x:c r="I117" s="524" t="str">
        <x:f>IF(A117="","",COUNTIF('7_Đơn hàng'!$G$4:$G$303,A117))</x:f>
      </x:c>
      <x:c r="J117" s="551" t="str">
        <x:f>IF(A117="","",SUMIF('7_Đơn hàng'!$G$4:$G$303,A117,'7_Đơn hàng'!$J$4:$J$303))</x:f>
      </x:c>
      <x:c r="K117" s="551" t="str">
        <x:f>IF(A117="","",SUMIF('7_Đơn hàng'!$G$4:$G$303,A117,'7_Đơn hàng'!$T$4:$T$303))</x:f>
      </x:c>
      <x:c r="L117" s="524"/>
    </x:row>
    <x:row r="118">
      <x:c r="A118" s="524"/>
      <x:c r="B118" s="524"/>
      <x:c r="C118" s="524"/>
      <x:c r="D118" s="524"/>
      <x:c r="E118" s="524"/>
      <x:c r="F118" s="524"/>
      <x:c r="G118" s="524"/>
      <x:c r="H118" s="538" t="n"/>
      <x:c r="I118" s="524" t="str">
        <x:f>IF(A118="","",COUNTIF('7_Đơn hàng'!$G$4:$G$303,A118))</x:f>
      </x:c>
      <x:c r="J118" s="551" t="str">
        <x:f>IF(A118="","",SUMIF('7_Đơn hàng'!$G$4:$G$303,A118,'7_Đơn hàng'!$J$4:$J$303))</x:f>
      </x:c>
      <x:c r="K118" s="551" t="str">
        <x:f>IF(A118="","",SUMIF('7_Đơn hàng'!$G$4:$G$303,A118,'7_Đơn hàng'!$T$4:$T$303))</x:f>
      </x:c>
      <x:c r="L118" s="524"/>
    </x:row>
    <x:row r="119">
      <x:c r="A119" s="524"/>
      <x:c r="B119" s="524"/>
      <x:c r="C119" s="524"/>
      <x:c r="D119" s="524"/>
      <x:c r="E119" s="524"/>
      <x:c r="F119" s="524"/>
      <x:c r="G119" s="524"/>
      <x:c r="H119" s="538" t="n"/>
      <x:c r="I119" s="524" t="str">
        <x:f>IF(A119="","",COUNTIF('7_Đơn hàng'!$G$4:$G$303,A119))</x:f>
      </x:c>
      <x:c r="J119" s="551" t="str">
        <x:f>IF(A119="","",SUMIF('7_Đơn hàng'!$G$4:$G$303,A119,'7_Đơn hàng'!$J$4:$J$303))</x:f>
      </x:c>
      <x:c r="K119" s="551" t="str">
        <x:f>IF(A119="","",SUMIF('7_Đơn hàng'!$G$4:$G$303,A119,'7_Đơn hàng'!$T$4:$T$303))</x:f>
      </x:c>
      <x:c r="L119" s="524"/>
    </x:row>
    <x:row r="120">
      <x:c r="A120" s="524"/>
      <x:c r="B120" s="524"/>
      <x:c r="C120" s="524"/>
      <x:c r="D120" s="524"/>
      <x:c r="E120" s="524"/>
      <x:c r="F120" s="524"/>
      <x:c r="G120" s="524"/>
      <x:c r="H120" s="538" t="n"/>
      <x:c r="I120" s="524" t="str">
        <x:f>IF(A120="","",COUNTIF('7_Đơn hàng'!$G$4:$G$303,A120))</x:f>
      </x:c>
      <x:c r="J120" s="551" t="str">
        <x:f>IF(A120="","",SUMIF('7_Đơn hàng'!$G$4:$G$303,A120,'7_Đơn hàng'!$J$4:$J$303))</x:f>
      </x:c>
      <x:c r="K120" s="551" t="str">
        <x:f>IF(A120="","",SUMIF('7_Đơn hàng'!$G$4:$G$303,A120,'7_Đơn hàng'!$T$4:$T$303))</x:f>
      </x:c>
      <x:c r="L120" s="524"/>
    </x:row>
    <x:row r="121">
      <x:c r="A121" s="524"/>
      <x:c r="B121" s="524"/>
      <x:c r="C121" s="524"/>
      <x:c r="D121" s="524"/>
      <x:c r="E121" s="524"/>
      <x:c r="F121" s="524"/>
      <x:c r="G121" s="524"/>
      <x:c r="H121" s="538" t="n"/>
      <x:c r="I121" s="524" t="str">
        <x:f>IF(A121="","",COUNTIF('7_Đơn hàng'!$G$4:$G$303,A121))</x:f>
      </x:c>
      <x:c r="J121" s="551" t="str">
        <x:f>IF(A121="","",SUMIF('7_Đơn hàng'!$G$4:$G$303,A121,'7_Đơn hàng'!$J$4:$J$303))</x:f>
      </x:c>
      <x:c r="K121" s="551" t="str">
        <x:f>IF(A121="","",SUMIF('7_Đơn hàng'!$G$4:$G$303,A121,'7_Đơn hàng'!$T$4:$T$303))</x:f>
      </x:c>
      <x:c r="L121" s="524"/>
    </x:row>
    <x:row r="122">
      <x:c r="A122" s="524"/>
      <x:c r="B122" s="524"/>
      <x:c r="C122" s="524"/>
      <x:c r="D122" s="524"/>
      <x:c r="E122" s="524"/>
      <x:c r="F122" s="524"/>
      <x:c r="G122" s="524"/>
      <x:c r="H122" s="538" t="n"/>
      <x:c r="I122" s="524" t="str">
        <x:f>IF(A122="","",COUNTIF('7_Đơn hàng'!$G$4:$G$303,A122))</x:f>
      </x:c>
      <x:c r="J122" s="551" t="str">
        <x:f>IF(A122="","",SUMIF('7_Đơn hàng'!$G$4:$G$303,A122,'7_Đơn hàng'!$J$4:$J$303))</x:f>
      </x:c>
      <x:c r="K122" s="551" t="str">
        <x:f>IF(A122="","",SUMIF('7_Đơn hàng'!$G$4:$G$303,A122,'7_Đơn hàng'!$T$4:$T$303))</x:f>
      </x:c>
      <x:c r="L122" s="524"/>
    </x:row>
    <x:row r="123">
      <x:c r="A123" s="524"/>
      <x:c r="B123" s="524"/>
      <x:c r="C123" s="524"/>
      <x:c r="D123" s="524"/>
      <x:c r="E123" s="524"/>
      <x:c r="F123" s="524"/>
      <x:c r="G123" s="524"/>
      <x:c r="H123" s="538" t="n"/>
      <x:c r="I123" s="524" t="str">
        <x:f>IF(A123="","",COUNTIF('7_Đơn hàng'!$G$4:$G$303,A123))</x:f>
      </x:c>
      <x:c r="J123" s="551" t="str">
        <x:f>IF(A123="","",SUMIF('7_Đơn hàng'!$G$4:$G$303,A123,'7_Đơn hàng'!$J$4:$J$303))</x:f>
      </x:c>
      <x:c r="K123" s="551" t="str">
        <x:f>IF(A123="","",SUMIF('7_Đơn hàng'!$G$4:$G$303,A123,'7_Đơn hàng'!$T$4:$T$303))</x:f>
      </x:c>
      <x:c r="L123" s="524"/>
    </x:row>
    <x:row r="124">
      <x:c r="A124" s="524"/>
      <x:c r="B124" s="524"/>
      <x:c r="C124" s="524"/>
      <x:c r="D124" s="524"/>
      <x:c r="E124" s="524"/>
      <x:c r="F124" s="524"/>
      <x:c r="G124" s="524"/>
      <x:c r="H124" s="538" t="n"/>
      <x:c r="I124" s="524" t="str">
        <x:f>IF(A124="","",COUNTIF('7_Đơn hàng'!$G$4:$G$303,A124))</x:f>
      </x:c>
      <x:c r="J124" s="551" t="str">
        <x:f>IF(A124="","",SUMIF('7_Đơn hàng'!$G$4:$G$303,A124,'7_Đơn hàng'!$J$4:$J$303))</x:f>
      </x:c>
      <x:c r="K124" s="551" t="str">
        <x:f>IF(A124="","",SUMIF('7_Đơn hàng'!$G$4:$G$303,A124,'7_Đơn hàng'!$T$4:$T$303))</x:f>
      </x:c>
      <x:c r="L124" s="524"/>
    </x:row>
    <x:row r="125">
      <x:c r="A125" s="524"/>
      <x:c r="B125" s="524"/>
      <x:c r="C125" s="524"/>
      <x:c r="D125" s="524"/>
      <x:c r="E125" s="524"/>
      <x:c r="F125" s="524"/>
      <x:c r="G125" s="524"/>
      <x:c r="H125" s="538" t="n"/>
      <x:c r="I125" s="524" t="str">
        <x:f>IF(A125="","",COUNTIF('7_Đơn hàng'!$G$4:$G$303,A125))</x:f>
      </x:c>
      <x:c r="J125" s="551" t="str">
        <x:f>IF(A125="","",SUMIF('7_Đơn hàng'!$G$4:$G$303,A125,'7_Đơn hàng'!$J$4:$J$303))</x:f>
      </x:c>
      <x:c r="K125" s="551" t="str">
        <x:f>IF(A125="","",SUMIF('7_Đơn hàng'!$G$4:$G$303,A125,'7_Đơn hàng'!$T$4:$T$303))</x:f>
      </x:c>
      <x:c r="L125" s="524"/>
    </x:row>
    <x:row r="126">
      <x:c r="A126" s="524"/>
      <x:c r="B126" s="524"/>
      <x:c r="C126" s="524"/>
      <x:c r="D126" s="524"/>
      <x:c r="E126" s="524"/>
      <x:c r="F126" s="524"/>
      <x:c r="G126" s="524"/>
      <x:c r="H126" s="538" t="n"/>
      <x:c r="I126" s="524" t="str">
        <x:f>IF(A126="","",COUNTIF('7_Đơn hàng'!$G$4:$G$303,A126))</x:f>
      </x:c>
      <x:c r="J126" s="551" t="str">
        <x:f>IF(A126="","",SUMIF('7_Đơn hàng'!$G$4:$G$303,A126,'7_Đơn hàng'!$J$4:$J$303))</x:f>
      </x:c>
      <x:c r="K126" s="551" t="str">
        <x:f>IF(A126="","",SUMIF('7_Đơn hàng'!$G$4:$G$303,A126,'7_Đơn hàng'!$T$4:$T$303))</x:f>
      </x:c>
      <x:c r="L126" s="524"/>
    </x:row>
    <x:row r="127">
      <x:c r="A127" s="524"/>
      <x:c r="B127" s="524"/>
      <x:c r="C127" s="524"/>
      <x:c r="D127" s="524"/>
      <x:c r="E127" s="524"/>
      <x:c r="F127" s="524"/>
      <x:c r="G127" s="524"/>
      <x:c r="H127" s="538" t="n"/>
      <x:c r="I127" s="524" t="str">
        <x:f>IF(A127="","",COUNTIF('7_Đơn hàng'!$G$4:$G$303,A127))</x:f>
      </x:c>
      <x:c r="J127" s="551" t="str">
        <x:f>IF(A127="","",SUMIF('7_Đơn hàng'!$G$4:$G$303,A127,'7_Đơn hàng'!$J$4:$J$303))</x:f>
      </x:c>
      <x:c r="K127" s="551" t="str">
        <x:f>IF(A127="","",SUMIF('7_Đơn hàng'!$G$4:$G$303,A127,'7_Đơn hàng'!$T$4:$T$303))</x:f>
      </x:c>
      <x:c r="L127" s="524"/>
    </x:row>
    <x:row r="128">
      <x:c r="A128" s="524"/>
      <x:c r="B128" s="524"/>
      <x:c r="C128" s="524"/>
      <x:c r="D128" s="524"/>
      <x:c r="E128" s="524"/>
      <x:c r="F128" s="524"/>
      <x:c r="G128" s="524"/>
      <x:c r="H128" s="538" t="n"/>
      <x:c r="I128" s="524" t="str">
        <x:f>IF(A128="","",COUNTIF('7_Đơn hàng'!$G$4:$G$303,A128))</x:f>
      </x:c>
      <x:c r="J128" s="551" t="str">
        <x:f>IF(A128="","",SUMIF('7_Đơn hàng'!$G$4:$G$303,A128,'7_Đơn hàng'!$J$4:$J$303))</x:f>
      </x:c>
      <x:c r="K128" s="551" t="str">
        <x:f>IF(A128="","",SUMIF('7_Đơn hàng'!$G$4:$G$303,A128,'7_Đơn hàng'!$T$4:$T$303))</x:f>
      </x:c>
      <x:c r="L128" s="524"/>
    </x:row>
    <x:row r="129">
      <x:c r="A129" s="524"/>
      <x:c r="B129" s="524"/>
      <x:c r="C129" s="524"/>
      <x:c r="D129" s="524"/>
      <x:c r="E129" s="524"/>
      <x:c r="F129" s="524"/>
      <x:c r="G129" s="524"/>
      <x:c r="H129" s="538" t="n"/>
      <x:c r="I129" s="524" t="str">
        <x:f>IF(A129="","",COUNTIF('7_Đơn hàng'!$G$4:$G$303,A129))</x:f>
      </x:c>
      <x:c r="J129" s="551" t="str">
        <x:f>IF(A129="","",SUMIF('7_Đơn hàng'!$G$4:$G$303,A129,'7_Đơn hàng'!$J$4:$J$303))</x:f>
      </x:c>
      <x:c r="K129" s="551" t="str">
        <x:f>IF(A129="","",SUMIF('7_Đơn hàng'!$G$4:$G$303,A129,'7_Đơn hàng'!$T$4:$T$303))</x:f>
      </x:c>
      <x:c r="L129" s="524"/>
    </x:row>
    <x:row r="130">
      <x:c r="A130" s="524"/>
      <x:c r="B130" s="524"/>
      <x:c r="C130" s="524"/>
      <x:c r="D130" s="524"/>
      <x:c r="E130" s="524"/>
      <x:c r="F130" s="524"/>
      <x:c r="G130" s="524"/>
      <x:c r="H130" s="538" t="n"/>
      <x:c r="I130" s="524" t="str">
        <x:f>IF(A130="","",COUNTIF('7_Đơn hàng'!$G$4:$G$303,A130))</x:f>
      </x:c>
      <x:c r="J130" s="551" t="str">
        <x:f>IF(A130="","",SUMIF('7_Đơn hàng'!$G$4:$G$303,A130,'7_Đơn hàng'!$J$4:$J$303))</x:f>
      </x:c>
      <x:c r="K130" s="551" t="str">
        <x:f>IF(A130="","",SUMIF('7_Đơn hàng'!$G$4:$G$303,A130,'7_Đơn hàng'!$T$4:$T$303))</x:f>
      </x:c>
      <x:c r="L130" s="524"/>
    </x:row>
    <x:row r="131">
      <x:c r="A131" s="524"/>
      <x:c r="B131" s="524"/>
      <x:c r="C131" s="524"/>
      <x:c r="D131" s="524"/>
      <x:c r="E131" s="524"/>
      <x:c r="F131" s="524"/>
      <x:c r="G131" s="524"/>
      <x:c r="H131" s="538" t="n"/>
      <x:c r="I131" s="524" t="str">
        <x:f>IF(A131="","",COUNTIF('7_Đơn hàng'!$G$4:$G$303,A131))</x:f>
      </x:c>
      <x:c r="J131" s="551" t="str">
        <x:f>IF(A131="","",SUMIF('7_Đơn hàng'!$G$4:$G$303,A131,'7_Đơn hàng'!$J$4:$J$303))</x:f>
      </x:c>
      <x:c r="K131" s="551" t="str">
        <x:f>IF(A131="","",SUMIF('7_Đơn hàng'!$G$4:$G$303,A131,'7_Đơn hàng'!$T$4:$T$303))</x:f>
      </x:c>
      <x:c r="L131" s="524"/>
    </x:row>
    <x:row r="132">
      <x:c r="A132" s="524"/>
      <x:c r="B132" s="524"/>
      <x:c r="C132" s="524"/>
      <x:c r="D132" s="524"/>
      <x:c r="E132" s="524"/>
      <x:c r="F132" s="524"/>
      <x:c r="G132" s="524"/>
      <x:c r="H132" s="538" t="n"/>
      <x:c r="I132" s="524" t="str">
        <x:f>IF(A132="","",COUNTIF('7_Đơn hàng'!$G$4:$G$303,A132))</x:f>
      </x:c>
      <x:c r="J132" s="551" t="str">
        <x:f>IF(A132="","",SUMIF('7_Đơn hàng'!$G$4:$G$303,A132,'7_Đơn hàng'!$J$4:$J$303))</x:f>
      </x:c>
      <x:c r="K132" s="551" t="str">
        <x:f>IF(A132="","",SUMIF('7_Đơn hàng'!$G$4:$G$303,A132,'7_Đơn hàng'!$T$4:$T$303))</x:f>
      </x:c>
      <x:c r="L132" s="524"/>
    </x:row>
    <x:row r="133">
      <x:c r="A133" s="524"/>
      <x:c r="B133" s="524"/>
      <x:c r="C133" s="524"/>
      <x:c r="D133" s="524"/>
      <x:c r="E133" s="524"/>
      <x:c r="F133" s="524"/>
      <x:c r="G133" s="524"/>
      <x:c r="H133" s="538" t="n"/>
      <x:c r="I133" s="524" t="str">
        <x:f>IF(A133="","",COUNTIF('7_Đơn hàng'!$G$4:$G$303,A133))</x:f>
      </x:c>
      <x:c r="J133" s="551" t="str">
        <x:f>IF(A133="","",SUMIF('7_Đơn hàng'!$G$4:$G$303,A133,'7_Đơn hàng'!$J$4:$J$303))</x:f>
      </x:c>
      <x:c r="K133" s="551" t="str">
        <x:f>IF(A133="","",SUMIF('7_Đơn hàng'!$G$4:$G$303,A133,'7_Đơn hàng'!$T$4:$T$303))</x:f>
      </x:c>
      <x:c r="L133" s="524"/>
    </x:row>
    <x:row r="134">
      <x:c r="A134" s="524"/>
      <x:c r="B134" s="524"/>
      <x:c r="C134" s="524"/>
      <x:c r="D134" s="524"/>
      <x:c r="E134" s="524"/>
      <x:c r="F134" s="524"/>
      <x:c r="G134" s="524"/>
      <x:c r="H134" s="538" t="n"/>
      <x:c r="I134" s="524" t="str">
        <x:f>IF(A134="","",COUNTIF('7_Đơn hàng'!$G$4:$G$303,A134))</x:f>
      </x:c>
      <x:c r="J134" s="551" t="str">
        <x:f>IF(A134="","",SUMIF('7_Đơn hàng'!$G$4:$G$303,A134,'7_Đơn hàng'!$J$4:$J$303))</x:f>
      </x:c>
      <x:c r="K134" s="551" t="str">
        <x:f>IF(A134="","",SUMIF('7_Đơn hàng'!$G$4:$G$303,A134,'7_Đơn hàng'!$T$4:$T$303))</x:f>
      </x:c>
      <x:c r="L134" s="524"/>
    </x:row>
    <x:row r="135">
      <x:c r="A135" s="524"/>
      <x:c r="B135" s="524"/>
      <x:c r="C135" s="524"/>
      <x:c r="D135" s="524"/>
      <x:c r="E135" s="524"/>
      <x:c r="F135" s="524"/>
      <x:c r="G135" s="524"/>
      <x:c r="H135" s="538" t="n"/>
      <x:c r="I135" s="524" t="str">
        <x:f>IF(A135="","",COUNTIF('7_Đơn hàng'!$G$4:$G$303,A135))</x:f>
      </x:c>
      <x:c r="J135" s="551" t="str">
        <x:f>IF(A135="","",SUMIF('7_Đơn hàng'!$G$4:$G$303,A135,'7_Đơn hàng'!$J$4:$J$303))</x:f>
      </x:c>
      <x:c r="K135" s="551" t="str">
        <x:f>IF(A135="","",SUMIF('7_Đơn hàng'!$G$4:$G$303,A135,'7_Đơn hàng'!$T$4:$T$303))</x:f>
      </x:c>
      <x:c r="L135" s="524"/>
    </x:row>
    <x:row r="136">
      <x:c r="A136" s="524"/>
      <x:c r="B136" s="524"/>
      <x:c r="C136" s="524"/>
      <x:c r="D136" s="524"/>
      <x:c r="E136" s="524"/>
      <x:c r="F136" s="524"/>
      <x:c r="G136" s="524"/>
      <x:c r="H136" s="538" t="n"/>
      <x:c r="I136" s="524" t="str">
        <x:f>IF(A136="","",COUNTIF('7_Đơn hàng'!$G$4:$G$303,A136))</x:f>
      </x:c>
      <x:c r="J136" s="551" t="str">
        <x:f>IF(A136="","",SUMIF('7_Đơn hàng'!$G$4:$G$303,A136,'7_Đơn hàng'!$J$4:$J$303))</x:f>
      </x:c>
      <x:c r="K136" s="551" t="str">
        <x:f>IF(A136="","",SUMIF('7_Đơn hàng'!$G$4:$G$303,A136,'7_Đơn hàng'!$T$4:$T$303))</x:f>
      </x:c>
      <x:c r="L136" s="524"/>
    </x:row>
    <x:row r="137">
      <x:c r="A137" s="524"/>
      <x:c r="B137" s="524"/>
      <x:c r="C137" s="524"/>
      <x:c r="D137" s="524"/>
      <x:c r="E137" s="524"/>
      <x:c r="F137" s="524"/>
      <x:c r="G137" s="524"/>
      <x:c r="H137" s="538" t="n"/>
      <x:c r="I137" s="524" t="str">
        <x:f>IF(A137="","",COUNTIF('7_Đơn hàng'!$G$4:$G$303,A137))</x:f>
      </x:c>
      <x:c r="J137" s="551" t="str">
        <x:f>IF(A137="","",SUMIF('7_Đơn hàng'!$G$4:$G$303,A137,'7_Đơn hàng'!$J$4:$J$303))</x:f>
      </x:c>
      <x:c r="K137" s="551" t="str">
        <x:f>IF(A137="","",SUMIF('7_Đơn hàng'!$G$4:$G$303,A137,'7_Đơn hàng'!$T$4:$T$303))</x:f>
      </x:c>
      <x:c r="L137" s="524"/>
    </x:row>
    <x:row r="138">
      <x:c r="A138" s="524"/>
      <x:c r="B138" s="524"/>
      <x:c r="C138" s="524"/>
      <x:c r="D138" s="524"/>
      <x:c r="E138" s="524"/>
      <x:c r="F138" s="524"/>
      <x:c r="G138" s="524"/>
      <x:c r="H138" s="538" t="n"/>
      <x:c r="I138" s="524" t="str">
        <x:f>IF(A138="","",COUNTIF('7_Đơn hàng'!$G$4:$G$303,A138))</x:f>
      </x:c>
      <x:c r="J138" s="551" t="str">
        <x:f>IF(A138="","",SUMIF('7_Đơn hàng'!$G$4:$G$303,A138,'7_Đơn hàng'!$J$4:$J$303))</x:f>
      </x:c>
      <x:c r="K138" s="551" t="str">
        <x:f>IF(A138="","",SUMIF('7_Đơn hàng'!$G$4:$G$303,A138,'7_Đơn hàng'!$T$4:$T$303))</x:f>
      </x:c>
      <x:c r="L138" s="524"/>
    </x:row>
    <x:row r="139">
      <x:c r="A139" s="524"/>
      <x:c r="B139" s="524"/>
      <x:c r="C139" s="524"/>
      <x:c r="D139" s="524"/>
      <x:c r="E139" s="524"/>
      <x:c r="F139" s="524"/>
      <x:c r="G139" s="524"/>
      <x:c r="H139" s="538" t="n"/>
      <x:c r="I139" s="524" t="str">
        <x:f>IF(A139="","",COUNTIF('7_Đơn hàng'!$G$4:$G$303,A139))</x:f>
      </x:c>
      <x:c r="J139" s="551" t="str">
        <x:f>IF(A139="","",SUMIF('7_Đơn hàng'!$G$4:$G$303,A139,'7_Đơn hàng'!$J$4:$J$303))</x:f>
      </x:c>
      <x:c r="K139" s="551" t="str">
        <x:f>IF(A139="","",SUMIF('7_Đơn hàng'!$G$4:$G$303,A139,'7_Đơn hàng'!$T$4:$T$303))</x:f>
      </x:c>
      <x:c r="L139" s="524"/>
    </x:row>
    <x:row r="140">
      <x:c r="A140" s="524"/>
      <x:c r="B140" s="524"/>
      <x:c r="C140" s="524"/>
      <x:c r="D140" s="524"/>
      <x:c r="E140" s="524"/>
      <x:c r="F140" s="524"/>
      <x:c r="G140" s="524"/>
      <x:c r="H140" s="538" t="n"/>
      <x:c r="I140" s="524" t="str">
        <x:f>IF(A140="","",COUNTIF('7_Đơn hàng'!$G$4:$G$303,A140))</x:f>
      </x:c>
      <x:c r="J140" s="551" t="str">
        <x:f>IF(A140="","",SUMIF('7_Đơn hàng'!$G$4:$G$303,A140,'7_Đơn hàng'!$J$4:$J$303))</x:f>
      </x:c>
      <x:c r="K140" s="551" t="str">
        <x:f>IF(A140="","",SUMIF('7_Đơn hàng'!$G$4:$G$303,A140,'7_Đơn hàng'!$T$4:$T$303))</x:f>
      </x:c>
      <x:c r="L140" s="524"/>
    </x:row>
    <x:row r="141">
      <x:c r="A141" s="524"/>
      <x:c r="B141" s="524"/>
      <x:c r="C141" s="524"/>
      <x:c r="D141" s="524"/>
      <x:c r="E141" s="524"/>
      <x:c r="F141" s="524"/>
      <x:c r="G141" s="524"/>
      <x:c r="H141" s="538" t="n"/>
      <x:c r="I141" s="524" t="str">
        <x:f>IF(A141="","",COUNTIF('7_Đơn hàng'!$G$4:$G$303,A141))</x:f>
      </x:c>
      <x:c r="J141" s="551" t="str">
        <x:f>IF(A141="","",SUMIF('7_Đơn hàng'!$G$4:$G$303,A141,'7_Đơn hàng'!$J$4:$J$303))</x:f>
      </x:c>
      <x:c r="K141" s="551" t="str">
        <x:f>IF(A141="","",SUMIF('7_Đơn hàng'!$G$4:$G$303,A141,'7_Đơn hàng'!$T$4:$T$303))</x:f>
      </x:c>
      <x:c r="L141" s="524"/>
    </x:row>
    <x:row r="142">
      <x:c r="A142" s="524"/>
      <x:c r="B142" s="524"/>
      <x:c r="C142" s="524"/>
      <x:c r="D142" s="524"/>
      <x:c r="E142" s="524"/>
      <x:c r="F142" s="524"/>
      <x:c r="G142" s="524"/>
      <x:c r="H142" s="538" t="n"/>
      <x:c r="I142" s="524" t="str">
        <x:f>IF(A142="","",COUNTIF('7_Đơn hàng'!$G$4:$G$303,A142))</x:f>
      </x:c>
      <x:c r="J142" s="551" t="str">
        <x:f>IF(A142="","",SUMIF('7_Đơn hàng'!$G$4:$G$303,A142,'7_Đơn hàng'!$J$4:$J$303))</x:f>
      </x:c>
      <x:c r="K142" s="551" t="str">
        <x:f>IF(A142="","",SUMIF('7_Đơn hàng'!$G$4:$G$303,A142,'7_Đơn hàng'!$T$4:$T$303))</x:f>
      </x:c>
      <x:c r="L142" s="524"/>
    </x:row>
    <x:row r="143">
      <x:c r="A143" s="524"/>
      <x:c r="B143" s="524"/>
      <x:c r="C143" s="524"/>
      <x:c r="D143" s="524"/>
      <x:c r="E143" s="524"/>
      <x:c r="F143" s="524"/>
      <x:c r="G143" s="524"/>
      <x:c r="H143" s="538" t="n"/>
      <x:c r="I143" s="524" t="str">
        <x:f>IF(A143="","",COUNTIF('7_Đơn hàng'!$G$4:$G$303,A143))</x:f>
      </x:c>
      <x:c r="J143" s="551" t="str">
        <x:f>IF(A143="","",SUMIF('7_Đơn hàng'!$G$4:$G$303,A143,'7_Đơn hàng'!$J$4:$J$303))</x:f>
      </x:c>
      <x:c r="K143" s="551" t="str">
        <x:f>IF(A143="","",SUMIF('7_Đơn hàng'!$G$4:$G$303,A143,'7_Đơn hàng'!$T$4:$T$303))</x:f>
      </x:c>
      <x:c r="L143" s="524"/>
    </x:row>
    <x:row r="144">
      <x:c r="A144" s="524"/>
      <x:c r="B144" s="524"/>
      <x:c r="C144" s="524"/>
      <x:c r="D144" s="524"/>
      <x:c r="E144" s="524"/>
      <x:c r="F144" s="524"/>
      <x:c r="G144" s="524"/>
      <x:c r="H144" s="538" t="n"/>
      <x:c r="I144" s="524" t="str">
        <x:f>IF(A144="","",COUNTIF('7_Đơn hàng'!$G$4:$G$303,A144))</x:f>
      </x:c>
      <x:c r="J144" s="551" t="str">
        <x:f>IF(A144="","",SUMIF('7_Đơn hàng'!$G$4:$G$303,A144,'7_Đơn hàng'!$J$4:$J$303))</x:f>
      </x:c>
      <x:c r="K144" s="551" t="str">
        <x:f>IF(A144="","",SUMIF('7_Đơn hàng'!$G$4:$G$303,A144,'7_Đơn hàng'!$T$4:$T$303))</x:f>
      </x:c>
      <x:c r="L144" s="524"/>
    </x:row>
    <x:row r="145">
      <x:c r="A145" s="524"/>
      <x:c r="B145" s="524"/>
      <x:c r="C145" s="524"/>
      <x:c r="D145" s="524"/>
      <x:c r="E145" s="524"/>
      <x:c r="F145" s="524"/>
      <x:c r="G145" s="524"/>
      <x:c r="H145" s="538" t="n"/>
      <x:c r="I145" s="524" t="str">
        <x:f>IF(A145="","",COUNTIF('7_Đơn hàng'!$G$4:$G$303,A145))</x:f>
      </x:c>
      <x:c r="J145" s="551" t="str">
        <x:f>IF(A145="","",SUMIF('7_Đơn hàng'!$G$4:$G$303,A145,'7_Đơn hàng'!$J$4:$J$303))</x:f>
      </x:c>
      <x:c r="K145" s="551" t="str">
        <x:f>IF(A145="","",SUMIF('7_Đơn hàng'!$G$4:$G$303,A145,'7_Đơn hàng'!$T$4:$T$303))</x:f>
      </x:c>
      <x:c r="L145" s="524"/>
    </x:row>
    <x:row r="146">
      <x:c r="A146" s="524"/>
      <x:c r="B146" s="524"/>
      <x:c r="C146" s="524"/>
      <x:c r="D146" s="524"/>
      <x:c r="E146" s="524"/>
      <x:c r="F146" s="524"/>
      <x:c r="G146" s="524"/>
      <x:c r="H146" s="538" t="n"/>
      <x:c r="I146" s="524" t="str">
        <x:f>IF(A146="","",COUNTIF('7_Đơn hàng'!$G$4:$G$303,A146))</x:f>
      </x:c>
      <x:c r="J146" s="551" t="str">
        <x:f>IF(A146="","",SUMIF('7_Đơn hàng'!$G$4:$G$303,A146,'7_Đơn hàng'!$J$4:$J$303))</x:f>
      </x:c>
      <x:c r="K146" s="551" t="str">
        <x:f>IF(A146="","",SUMIF('7_Đơn hàng'!$G$4:$G$303,A146,'7_Đơn hàng'!$T$4:$T$303))</x:f>
      </x:c>
      <x:c r="L146" s="524"/>
    </x:row>
    <x:row r="147">
      <x:c r="A147" s="524"/>
      <x:c r="B147" s="524"/>
      <x:c r="C147" s="524"/>
      <x:c r="D147" s="524"/>
      <x:c r="E147" s="524"/>
      <x:c r="F147" s="524"/>
      <x:c r="G147" s="524"/>
      <x:c r="H147" s="538" t="n"/>
      <x:c r="I147" s="524" t="str">
        <x:f>IF(A147="","",COUNTIF('7_Đơn hàng'!$G$4:$G$303,A147))</x:f>
      </x:c>
      <x:c r="J147" s="551" t="str">
        <x:f>IF(A147="","",SUMIF('7_Đơn hàng'!$G$4:$G$303,A147,'7_Đơn hàng'!$J$4:$J$303))</x:f>
      </x:c>
      <x:c r="K147" s="551" t="str">
        <x:f>IF(A147="","",SUMIF('7_Đơn hàng'!$G$4:$G$303,A147,'7_Đơn hàng'!$T$4:$T$303))</x:f>
      </x:c>
      <x:c r="L147" s="524"/>
    </x:row>
    <x:row r="148">
      <x:c r="A148" s="524"/>
      <x:c r="B148" s="524"/>
      <x:c r="C148" s="524"/>
      <x:c r="D148" s="524"/>
      <x:c r="E148" s="524"/>
      <x:c r="F148" s="524"/>
      <x:c r="G148" s="524"/>
      <x:c r="H148" s="538" t="n"/>
      <x:c r="I148" s="524" t="str">
        <x:f>IF(A148="","",COUNTIF('7_Đơn hàng'!$G$4:$G$303,A148))</x:f>
      </x:c>
      <x:c r="J148" s="551" t="str">
        <x:f>IF(A148="","",SUMIF('7_Đơn hàng'!$G$4:$G$303,A148,'7_Đơn hàng'!$J$4:$J$303))</x:f>
      </x:c>
      <x:c r="K148" s="551" t="str">
        <x:f>IF(A148="","",SUMIF('7_Đơn hàng'!$G$4:$G$303,A148,'7_Đơn hàng'!$T$4:$T$303))</x:f>
      </x:c>
      <x:c r="L148" s="524"/>
    </x:row>
    <x:row r="149">
      <x:c r="A149" s="524"/>
      <x:c r="B149" s="524"/>
      <x:c r="C149" s="524"/>
      <x:c r="D149" s="524"/>
      <x:c r="E149" s="524"/>
      <x:c r="F149" s="524"/>
      <x:c r="G149" s="524"/>
      <x:c r="H149" s="538" t="n"/>
      <x:c r="I149" s="524" t="str">
        <x:f>IF(A149="","",COUNTIF('7_Đơn hàng'!$G$4:$G$303,A149))</x:f>
      </x:c>
      <x:c r="J149" s="551" t="str">
        <x:f>IF(A149="","",SUMIF('7_Đơn hàng'!$G$4:$G$303,A149,'7_Đơn hàng'!$J$4:$J$303))</x:f>
      </x:c>
      <x:c r="K149" s="551" t="str">
        <x:f>IF(A149="","",SUMIF('7_Đơn hàng'!$G$4:$G$303,A149,'7_Đơn hàng'!$T$4:$T$303))</x:f>
      </x:c>
      <x:c r="L149" s="524"/>
    </x:row>
    <x:row r="150">
      <x:c r="A150" s="524"/>
      <x:c r="B150" s="524"/>
      <x:c r="C150" s="524"/>
      <x:c r="D150" s="524"/>
      <x:c r="E150" s="524"/>
      <x:c r="F150" s="524"/>
      <x:c r="G150" s="524"/>
      <x:c r="H150" s="538" t="n"/>
      <x:c r="I150" s="524" t="str">
        <x:f>IF(A150="","",COUNTIF('7_Đơn hàng'!$G$4:$G$303,A150))</x:f>
      </x:c>
      <x:c r="J150" s="551" t="str">
        <x:f>IF(A150="","",SUMIF('7_Đơn hàng'!$G$4:$G$303,A150,'7_Đơn hàng'!$J$4:$J$303))</x:f>
      </x:c>
      <x:c r="K150" s="551" t="str">
        <x:f>IF(A150="","",SUMIF('7_Đơn hàng'!$G$4:$G$303,A150,'7_Đơn hàng'!$T$4:$T$303))</x:f>
      </x:c>
      <x:c r="L150" s="524"/>
    </x:row>
    <x:row r="151">
      <x:c r="A151" s="524"/>
      <x:c r="B151" s="524"/>
      <x:c r="C151" s="524"/>
      <x:c r="D151" s="524"/>
      <x:c r="E151" s="524"/>
      <x:c r="F151" s="524"/>
      <x:c r="G151" s="524"/>
      <x:c r="H151" s="538" t="n"/>
      <x:c r="I151" s="524" t="str">
        <x:f>IF(A151="","",COUNTIF('7_Đơn hàng'!$G$4:$G$303,A151))</x:f>
      </x:c>
      <x:c r="J151" s="551" t="str">
        <x:f>IF(A151="","",SUMIF('7_Đơn hàng'!$G$4:$G$303,A151,'7_Đơn hàng'!$J$4:$J$303))</x:f>
      </x:c>
      <x:c r="K151" s="551" t="str">
        <x:f>IF(A151="","",SUMIF('7_Đơn hàng'!$G$4:$G$303,A151,'7_Đơn hàng'!$T$4:$T$303))</x:f>
      </x:c>
      <x:c r="L151" s="524"/>
    </x:row>
    <x:row r="152">
      <x:c r="A152" s="524"/>
      <x:c r="B152" s="524"/>
      <x:c r="C152" s="524"/>
      <x:c r="D152" s="524"/>
      <x:c r="E152" s="524"/>
      <x:c r="F152" s="524"/>
      <x:c r="G152" s="524"/>
      <x:c r="H152" s="538" t="n"/>
      <x:c r="I152" s="524" t="str">
        <x:f>IF(A152="","",COUNTIF('7_Đơn hàng'!$G$4:$G$303,A152))</x:f>
      </x:c>
      <x:c r="J152" s="551" t="str">
        <x:f>IF(A152="","",SUMIF('7_Đơn hàng'!$G$4:$G$303,A152,'7_Đơn hàng'!$J$4:$J$303))</x:f>
      </x:c>
      <x:c r="K152" s="551" t="str">
        <x:f>IF(A152="","",SUMIF('7_Đơn hàng'!$G$4:$G$303,A152,'7_Đơn hàng'!$T$4:$T$303))</x:f>
      </x:c>
      <x:c r="L152" s="524"/>
    </x:row>
    <x:row r="153">
      <x:c r="A153" s="524"/>
      <x:c r="B153" s="524"/>
      <x:c r="C153" s="524"/>
      <x:c r="D153" s="524"/>
      <x:c r="E153" s="524"/>
      <x:c r="F153" s="524"/>
      <x:c r="G153" s="524"/>
      <x:c r="H153" s="538" t="n"/>
      <x:c r="I153" s="524" t="str">
        <x:f>IF(A153="","",COUNTIF('7_Đơn hàng'!$G$4:$G$303,A153))</x:f>
      </x:c>
      <x:c r="J153" s="551" t="str">
        <x:f>IF(A153="","",SUMIF('7_Đơn hàng'!$G$4:$G$303,A153,'7_Đơn hàng'!$J$4:$J$303))</x:f>
      </x:c>
      <x:c r="K153" s="551" t="str">
        <x:f>IF(A153="","",SUMIF('7_Đơn hàng'!$G$4:$G$303,A153,'7_Đơn hàng'!$T$4:$T$303))</x:f>
      </x:c>
      <x:c r="L153" s="524"/>
    </x:row>
    <x:row r="154">
      <x:c r="A154" s="524"/>
      <x:c r="B154" s="524"/>
      <x:c r="C154" s="524"/>
      <x:c r="D154" s="524"/>
      <x:c r="E154" s="524"/>
      <x:c r="F154" s="524"/>
      <x:c r="G154" s="524"/>
      <x:c r="H154" s="538" t="n"/>
      <x:c r="I154" s="524" t="str">
        <x:f>IF(A154="","",COUNTIF('7_Đơn hàng'!$G$4:$G$303,A154))</x:f>
      </x:c>
      <x:c r="J154" s="551" t="str">
        <x:f>IF(A154="","",SUMIF('7_Đơn hàng'!$G$4:$G$303,A154,'7_Đơn hàng'!$J$4:$J$303))</x:f>
      </x:c>
      <x:c r="K154" s="551" t="str">
        <x:f>IF(A154="","",SUMIF('7_Đơn hàng'!$G$4:$G$303,A154,'7_Đơn hàng'!$T$4:$T$303))</x:f>
      </x:c>
      <x:c r="L154" s="524"/>
    </x:row>
    <x:row r="155">
      <x:c r="A155" s="524"/>
      <x:c r="B155" s="524"/>
      <x:c r="C155" s="524"/>
      <x:c r="D155" s="524"/>
      <x:c r="E155" s="524"/>
      <x:c r="F155" s="524"/>
      <x:c r="G155" s="524"/>
      <x:c r="H155" s="538" t="n"/>
      <x:c r="I155" s="524" t="str">
        <x:f>IF(A155="","",COUNTIF('7_Đơn hàng'!$G$4:$G$303,A155))</x:f>
      </x:c>
      <x:c r="J155" s="551" t="str">
        <x:f>IF(A155="","",SUMIF('7_Đơn hàng'!$G$4:$G$303,A155,'7_Đơn hàng'!$J$4:$J$303))</x:f>
      </x:c>
      <x:c r="K155" s="551" t="str">
        <x:f>IF(A155="","",SUMIF('7_Đơn hàng'!$G$4:$G$303,A155,'7_Đơn hàng'!$T$4:$T$303))</x:f>
      </x:c>
      <x:c r="L155" s="524"/>
    </x:row>
    <x:row r="156">
      <x:c r="A156" s="524"/>
      <x:c r="B156" s="524"/>
      <x:c r="C156" s="524"/>
      <x:c r="D156" s="524"/>
      <x:c r="E156" s="524"/>
      <x:c r="F156" s="524"/>
      <x:c r="G156" s="524"/>
      <x:c r="H156" s="538" t="n"/>
      <x:c r="I156" s="524" t="str">
        <x:f>IF(A156="","",COUNTIF('7_Đơn hàng'!$G$4:$G$303,A156))</x:f>
      </x:c>
      <x:c r="J156" s="551" t="str">
        <x:f>IF(A156="","",SUMIF('7_Đơn hàng'!$G$4:$G$303,A156,'7_Đơn hàng'!$J$4:$J$303))</x:f>
      </x:c>
      <x:c r="K156" s="551" t="str">
        <x:f>IF(A156="","",SUMIF('7_Đơn hàng'!$G$4:$G$303,A156,'7_Đơn hàng'!$T$4:$T$303))</x:f>
      </x:c>
      <x:c r="L156" s="524"/>
    </x:row>
    <x:row r="157">
      <x:c r="A157" s="524"/>
      <x:c r="B157" s="524"/>
      <x:c r="C157" s="524"/>
      <x:c r="D157" s="524"/>
      <x:c r="E157" s="524"/>
      <x:c r="F157" s="524"/>
      <x:c r="G157" s="524"/>
      <x:c r="H157" s="538" t="n"/>
      <x:c r="I157" s="524" t="str">
        <x:f>IF(A157="","",COUNTIF('7_Đơn hàng'!$G$4:$G$303,A157))</x:f>
      </x:c>
      <x:c r="J157" s="551" t="str">
        <x:f>IF(A157="","",SUMIF('7_Đơn hàng'!$G$4:$G$303,A157,'7_Đơn hàng'!$J$4:$J$303))</x:f>
      </x:c>
      <x:c r="K157" s="551" t="str">
        <x:f>IF(A157="","",SUMIF('7_Đơn hàng'!$G$4:$G$303,A157,'7_Đơn hàng'!$T$4:$T$303))</x:f>
      </x:c>
      <x:c r="L157" s="524"/>
    </x:row>
    <x:row r="158">
      <x:c r="A158" s="524"/>
      <x:c r="B158" s="524"/>
      <x:c r="C158" s="524"/>
      <x:c r="D158" s="524"/>
      <x:c r="E158" s="524"/>
      <x:c r="F158" s="524"/>
      <x:c r="G158" s="524"/>
      <x:c r="H158" s="538" t="n"/>
      <x:c r="I158" s="524" t="str">
        <x:f>IF(A158="","",COUNTIF('7_Đơn hàng'!$G$4:$G$303,A158))</x:f>
      </x:c>
      <x:c r="J158" s="551" t="str">
        <x:f>IF(A158="","",SUMIF('7_Đơn hàng'!$G$4:$G$303,A158,'7_Đơn hàng'!$J$4:$J$303))</x:f>
      </x:c>
      <x:c r="K158" s="551" t="str">
        <x:f>IF(A158="","",SUMIF('7_Đơn hàng'!$G$4:$G$303,A158,'7_Đơn hàng'!$T$4:$T$303))</x:f>
      </x:c>
      <x:c r="L158" s="524"/>
    </x:row>
    <x:row r="159">
      <x:c r="A159" s="524"/>
      <x:c r="B159" s="524"/>
      <x:c r="C159" s="524"/>
      <x:c r="D159" s="524"/>
      <x:c r="E159" s="524"/>
      <x:c r="F159" s="524"/>
      <x:c r="G159" s="524"/>
      <x:c r="H159" s="538" t="n"/>
      <x:c r="I159" s="524" t="str">
        <x:f>IF(A159="","",COUNTIF('7_Đơn hàng'!$G$4:$G$303,A159))</x:f>
      </x:c>
      <x:c r="J159" s="551" t="str">
        <x:f>IF(A159="","",SUMIF('7_Đơn hàng'!$G$4:$G$303,A159,'7_Đơn hàng'!$J$4:$J$303))</x:f>
      </x:c>
      <x:c r="K159" s="551" t="str">
        <x:f>IF(A159="","",SUMIF('7_Đơn hàng'!$G$4:$G$303,A159,'7_Đơn hàng'!$T$4:$T$303))</x:f>
      </x:c>
      <x:c r="L159" s="524"/>
    </x:row>
    <x:row r="160">
      <x:c r="A160" s="524"/>
      <x:c r="B160" s="524"/>
      <x:c r="C160" s="524"/>
      <x:c r="D160" s="524"/>
      <x:c r="E160" s="524"/>
      <x:c r="F160" s="524"/>
      <x:c r="G160" s="524"/>
      <x:c r="H160" s="538" t="n"/>
      <x:c r="I160" s="524" t="str">
        <x:f>IF(A160="","",COUNTIF('7_Đơn hàng'!$G$4:$G$303,A160))</x:f>
      </x:c>
      <x:c r="J160" s="551" t="str">
        <x:f>IF(A160="","",SUMIF('7_Đơn hàng'!$G$4:$G$303,A160,'7_Đơn hàng'!$J$4:$J$303))</x:f>
      </x:c>
      <x:c r="K160" s="551" t="str">
        <x:f>IF(A160="","",SUMIF('7_Đơn hàng'!$G$4:$G$303,A160,'7_Đơn hàng'!$T$4:$T$303))</x:f>
      </x:c>
      <x:c r="L160" s="524"/>
    </x:row>
    <x:row r="161">
      <x:c r="A161" s="524"/>
      <x:c r="B161" s="524"/>
      <x:c r="C161" s="524"/>
      <x:c r="D161" s="524"/>
      <x:c r="E161" s="524"/>
      <x:c r="F161" s="524"/>
      <x:c r="G161" s="524"/>
      <x:c r="H161" s="538" t="n"/>
      <x:c r="I161" s="524" t="str">
        <x:f>IF(A161="","",COUNTIF('7_Đơn hàng'!$G$4:$G$303,A161))</x:f>
      </x:c>
      <x:c r="J161" s="551" t="str">
        <x:f>IF(A161="","",SUMIF('7_Đơn hàng'!$G$4:$G$303,A161,'7_Đơn hàng'!$J$4:$J$303))</x:f>
      </x:c>
      <x:c r="K161" s="551" t="str">
        <x:f>IF(A161="","",SUMIF('7_Đơn hàng'!$G$4:$G$303,A161,'7_Đơn hàng'!$T$4:$T$303))</x:f>
      </x:c>
      <x:c r="L161" s="524"/>
    </x:row>
    <x:row r="162">
      <x:c r="A162" s="524"/>
      <x:c r="B162" s="524"/>
      <x:c r="C162" s="524"/>
      <x:c r="D162" s="524"/>
      <x:c r="E162" s="524"/>
      <x:c r="F162" s="524"/>
      <x:c r="G162" s="524"/>
      <x:c r="H162" s="538" t="n"/>
      <x:c r="I162" s="524" t="str">
        <x:f>IF(A162="","",COUNTIF('7_Đơn hàng'!$G$4:$G$303,A162))</x:f>
      </x:c>
      <x:c r="J162" s="551" t="str">
        <x:f>IF(A162="","",SUMIF('7_Đơn hàng'!$G$4:$G$303,A162,'7_Đơn hàng'!$J$4:$J$303))</x:f>
      </x:c>
      <x:c r="K162" s="551" t="str">
        <x:f>IF(A162="","",SUMIF('7_Đơn hàng'!$G$4:$G$303,A162,'7_Đơn hàng'!$T$4:$T$303))</x:f>
      </x:c>
      <x:c r="L162" s="524"/>
    </x:row>
    <x:row r="163">
      <x:c r="A163" s="524"/>
      <x:c r="B163" s="524"/>
      <x:c r="C163" s="524"/>
      <x:c r="D163" s="524"/>
      <x:c r="E163" s="524"/>
      <x:c r="F163" s="524"/>
      <x:c r="G163" s="524"/>
      <x:c r="H163" s="538" t="n"/>
      <x:c r="I163" s="524" t="str">
        <x:f>IF(A163="","",COUNTIF('7_Đơn hàng'!$G$4:$G$303,A163))</x:f>
      </x:c>
      <x:c r="J163" s="551" t="str">
        <x:f>IF(A163="","",SUMIF('7_Đơn hàng'!$G$4:$G$303,A163,'7_Đơn hàng'!$J$4:$J$303))</x:f>
      </x:c>
      <x:c r="K163" s="551" t="str">
        <x:f>IF(A163="","",SUMIF('7_Đơn hàng'!$G$4:$G$303,A163,'7_Đơn hàng'!$T$4:$T$303))</x:f>
      </x:c>
      <x:c r="L163" s="524"/>
    </x:row>
    <x:row r="164">
      <x:c r="A164" s="524"/>
      <x:c r="B164" s="524"/>
      <x:c r="C164" s="524"/>
      <x:c r="D164" s="524"/>
      <x:c r="E164" s="524"/>
      <x:c r="F164" s="524"/>
      <x:c r="G164" s="524"/>
      <x:c r="H164" s="538" t="n"/>
      <x:c r="I164" s="524" t="str">
        <x:f>IF(A164="","",COUNTIF('7_Đơn hàng'!$G$4:$G$303,A164))</x:f>
      </x:c>
      <x:c r="J164" s="551" t="str">
        <x:f>IF(A164="","",SUMIF('7_Đơn hàng'!$G$4:$G$303,A164,'7_Đơn hàng'!$J$4:$J$303))</x:f>
      </x:c>
      <x:c r="K164" s="551" t="str">
        <x:f>IF(A164="","",SUMIF('7_Đơn hàng'!$G$4:$G$303,A164,'7_Đơn hàng'!$T$4:$T$303))</x:f>
      </x:c>
      <x:c r="L164" s="524"/>
    </x:row>
    <x:row r="165">
      <x:c r="A165" s="524"/>
      <x:c r="B165" s="524"/>
      <x:c r="C165" s="524"/>
      <x:c r="D165" s="524"/>
      <x:c r="E165" s="524"/>
      <x:c r="F165" s="524"/>
      <x:c r="G165" s="524"/>
      <x:c r="H165" s="538" t="n"/>
      <x:c r="I165" s="524" t="str">
        <x:f>IF(A165="","",COUNTIF('7_Đơn hàng'!$G$4:$G$303,A165))</x:f>
      </x:c>
      <x:c r="J165" s="551" t="str">
        <x:f>IF(A165="","",SUMIF('7_Đơn hàng'!$G$4:$G$303,A165,'7_Đơn hàng'!$J$4:$J$303))</x:f>
      </x:c>
      <x:c r="K165" s="551" t="str">
        <x:f>IF(A165="","",SUMIF('7_Đơn hàng'!$G$4:$G$303,A165,'7_Đơn hàng'!$T$4:$T$303))</x:f>
      </x:c>
      <x:c r="L165" s="524"/>
    </x:row>
    <x:row r="166">
      <x:c r="A166" s="524"/>
      <x:c r="B166" s="524"/>
      <x:c r="C166" s="524"/>
      <x:c r="D166" s="524"/>
      <x:c r="E166" s="524"/>
      <x:c r="F166" s="524"/>
      <x:c r="G166" s="524"/>
      <x:c r="H166" s="538" t="n"/>
      <x:c r="I166" s="524" t="str">
        <x:f>IF(A166="","",COUNTIF('7_Đơn hàng'!$G$4:$G$303,A166))</x:f>
      </x:c>
      <x:c r="J166" s="551" t="str">
        <x:f>IF(A166="","",SUMIF('7_Đơn hàng'!$G$4:$G$303,A166,'7_Đơn hàng'!$J$4:$J$303))</x:f>
      </x:c>
      <x:c r="K166" s="551" t="str">
        <x:f>IF(A166="","",SUMIF('7_Đơn hàng'!$G$4:$G$303,A166,'7_Đơn hàng'!$T$4:$T$303))</x:f>
      </x:c>
      <x:c r="L166" s="524"/>
    </x:row>
    <x:row r="167">
      <x:c r="A167" s="524"/>
      <x:c r="B167" s="524"/>
      <x:c r="C167" s="524"/>
      <x:c r="D167" s="524"/>
      <x:c r="E167" s="524"/>
      <x:c r="F167" s="524"/>
      <x:c r="G167" s="524"/>
      <x:c r="H167" s="538" t="n"/>
      <x:c r="I167" s="524" t="str">
        <x:f>IF(A167="","",COUNTIF('7_Đơn hàng'!$G$4:$G$303,A167))</x:f>
      </x:c>
      <x:c r="J167" s="551" t="str">
        <x:f>IF(A167="","",SUMIF('7_Đơn hàng'!$G$4:$G$303,A167,'7_Đơn hàng'!$J$4:$J$303))</x:f>
      </x:c>
      <x:c r="K167" s="551" t="str">
        <x:f>IF(A167="","",SUMIF('7_Đơn hàng'!$G$4:$G$303,A167,'7_Đơn hàng'!$T$4:$T$303))</x:f>
      </x:c>
      <x:c r="L167" s="524"/>
    </x:row>
    <x:row r="168">
      <x:c r="A168" s="524"/>
      <x:c r="B168" s="524"/>
      <x:c r="C168" s="524"/>
      <x:c r="D168" s="524"/>
      <x:c r="E168" s="524"/>
      <x:c r="F168" s="524"/>
      <x:c r="G168" s="524"/>
      <x:c r="H168" s="538" t="n"/>
      <x:c r="I168" s="524" t="str">
        <x:f>IF(A168="","",COUNTIF('7_Đơn hàng'!$G$4:$G$303,A168))</x:f>
      </x:c>
      <x:c r="J168" s="551" t="str">
        <x:f>IF(A168="","",SUMIF('7_Đơn hàng'!$G$4:$G$303,A168,'7_Đơn hàng'!$J$4:$J$303))</x:f>
      </x:c>
      <x:c r="K168" s="551" t="str">
        <x:f>IF(A168="","",SUMIF('7_Đơn hàng'!$G$4:$G$303,A168,'7_Đơn hàng'!$T$4:$T$303))</x:f>
      </x:c>
      <x:c r="L168" s="524"/>
    </x:row>
    <x:row r="169">
      <x:c r="A169" s="524"/>
      <x:c r="B169" s="524"/>
      <x:c r="C169" s="524"/>
      <x:c r="D169" s="524"/>
      <x:c r="E169" s="524"/>
      <x:c r="F169" s="524"/>
      <x:c r="G169" s="524"/>
      <x:c r="H169" s="538" t="n"/>
      <x:c r="I169" s="524" t="str">
        <x:f>IF(A169="","",COUNTIF('7_Đơn hàng'!$G$4:$G$303,A169))</x:f>
      </x:c>
      <x:c r="J169" s="551" t="str">
        <x:f>IF(A169="","",SUMIF('7_Đơn hàng'!$G$4:$G$303,A169,'7_Đơn hàng'!$J$4:$J$303))</x:f>
      </x:c>
      <x:c r="K169" s="551" t="str">
        <x:f>IF(A169="","",SUMIF('7_Đơn hàng'!$G$4:$G$303,A169,'7_Đơn hàng'!$T$4:$T$303))</x:f>
      </x:c>
      <x:c r="L169" s="524"/>
    </x:row>
    <x:row r="170">
      <x:c r="A170" s="524"/>
      <x:c r="B170" s="524"/>
      <x:c r="C170" s="524"/>
      <x:c r="D170" s="524"/>
      <x:c r="E170" s="524"/>
      <x:c r="F170" s="524"/>
      <x:c r="G170" s="524"/>
      <x:c r="H170" s="538" t="n"/>
      <x:c r="I170" s="524" t="str">
        <x:f>IF(A170="","",COUNTIF('7_Đơn hàng'!$G$4:$G$303,A170))</x:f>
      </x:c>
      <x:c r="J170" s="551" t="str">
        <x:f>IF(A170="","",SUMIF('7_Đơn hàng'!$G$4:$G$303,A170,'7_Đơn hàng'!$J$4:$J$303))</x:f>
      </x:c>
      <x:c r="K170" s="551" t="str">
        <x:f>IF(A170="","",SUMIF('7_Đơn hàng'!$G$4:$G$303,A170,'7_Đơn hàng'!$T$4:$T$303))</x:f>
      </x:c>
      <x:c r="L170" s="524"/>
    </x:row>
    <x:row r="171">
      <x:c r="A171" s="524"/>
      <x:c r="B171" s="524"/>
      <x:c r="C171" s="524"/>
      <x:c r="D171" s="524"/>
      <x:c r="E171" s="524"/>
      <x:c r="F171" s="524"/>
      <x:c r="G171" s="524"/>
      <x:c r="H171" s="538" t="n"/>
      <x:c r="I171" s="524" t="str">
        <x:f>IF(A171="","",COUNTIF('7_Đơn hàng'!$G$4:$G$303,A171))</x:f>
      </x:c>
      <x:c r="J171" s="551" t="str">
        <x:f>IF(A171="","",SUMIF('7_Đơn hàng'!$G$4:$G$303,A171,'7_Đơn hàng'!$J$4:$J$303))</x:f>
      </x:c>
      <x:c r="K171" s="551" t="str">
        <x:f>IF(A171="","",SUMIF('7_Đơn hàng'!$G$4:$G$303,A171,'7_Đơn hàng'!$T$4:$T$303))</x:f>
      </x:c>
      <x:c r="L171" s="524"/>
    </x:row>
    <x:row r="172">
      <x:c r="A172" s="524"/>
      <x:c r="B172" s="524"/>
      <x:c r="C172" s="524"/>
      <x:c r="D172" s="524"/>
      <x:c r="E172" s="524"/>
      <x:c r="F172" s="524"/>
      <x:c r="G172" s="524"/>
      <x:c r="H172" s="538" t="n"/>
      <x:c r="I172" s="524" t="str">
        <x:f>IF(A172="","",COUNTIF('7_Đơn hàng'!$G$4:$G$303,A172))</x:f>
      </x:c>
      <x:c r="J172" s="551" t="str">
        <x:f>IF(A172="","",SUMIF('7_Đơn hàng'!$G$4:$G$303,A172,'7_Đơn hàng'!$J$4:$J$303))</x:f>
      </x:c>
      <x:c r="K172" s="551" t="str">
        <x:f>IF(A172="","",SUMIF('7_Đơn hàng'!$G$4:$G$303,A172,'7_Đơn hàng'!$T$4:$T$303))</x:f>
      </x:c>
      <x:c r="L172" s="524"/>
    </x:row>
    <x:row r="173">
      <x:c r="A173" s="524"/>
      <x:c r="B173" s="524"/>
      <x:c r="C173" s="524"/>
      <x:c r="D173" s="524"/>
      <x:c r="E173" s="524"/>
      <x:c r="F173" s="524"/>
      <x:c r="G173" s="524"/>
      <x:c r="H173" s="538" t="n"/>
      <x:c r="I173" s="524" t="str">
        <x:f>IF(A173="","",COUNTIF('7_Đơn hàng'!$G$4:$G$303,A173))</x:f>
      </x:c>
      <x:c r="J173" s="551" t="str">
        <x:f>IF(A173="","",SUMIF('7_Đơn hàng'!$G$4:$G$303,A173,'7_Đơn hàng'!$J$4:$J$303))</x:f>
      </x:c>
      <x:c r="K173" s="551" t="str">
        <x:f>IF(A173="","",SUMIF('7_Đơn hàng'!$G$4:$G$303,A173,'7_Đơn hàng'!$T$4:$T$303))</x:f>
      </x:c>
      <x:c r="L173" s="524"/>
    </x:row>
    <x:row r="174">
      <x:c r="A174" s="524"/>
      <x:c r="B174" s="524"/>
      <x:c r="C174" s="524"/>
      <x:c r="D174" s="524"/>
      <x:c r="E174" s="524"/>
      <x:c r="F174" s="524"/>
      <x:c r="G174" s="524"/>
      <x:c r="H174" s="538" t="n"/>
      <x:c r="I174" s="524" t="str">
        <x:f>IF(A174="","",COUNTIF('7_Đơn hàng'!$G$4:$G$303,A174))</x:f>
      </x:c>
      <x:c r="J174" s="551" t="str">
        <x:f>IF(A174="","",SUMIF('7_Đơn hàng'!$G$4:$G$303,A174,'7_Đơn hàng'!$J$4:$J$303))</x:f>
      </x:c>
      <x:c r="K174" s="551" t="str">
        <x:f>IF(A174="","",SUMIF('7_Đơn hàng'!$G$4:$G$303,A174,'7_Đơn hàng'!$T$4:$T$303))</x:f>
      </x:c>
      <x:c r="L174" s="524"/>
    </x:row>
    <x:row r="175">
      <x:c r="A175" s="524"/>
      <x:c r="B175" s="524"/>
      <x:c r="C175" s="524"/>
      <x:c r="D175" s="524"/>
      <x:c r="E175" s="524"/>
      <x:c r="F175" s="524"/>
      <x:c r="G175" s="524"/>
      <x:c r="H175" s="538" t="n"/>
      <x:c r="I175" s="524" t="str">
        <x:f>IF(A175="","",COUNTIF('7_Đơn hàng'!$G$4:$G$303,A175))</x:f>
      </x:c>
      <x:c r="J175" s="551" t="str">
        <x:f>IF(A175="","",SUMIF('7_Đơn hàng'!$G$4:$G$303,A175,'7_Đơn hàng'!$J$4:$J$303))</x:f>
      </x:c>
      <x:c r="K175" s="551" t="str">
        <x:f>IF(A175="","",SUMIF('7_Đơn hàng'!$G$4:$G$303,A175,'7_Đơn hàng'!$T$4:$T$303))</x:f>
      </x:c>
      <x:c r="L175" s="524"/>
    </x:row>
    <x:row r="176">
      <x:c r="A176" s="524"/>
      <x:c r="B176" s="524"/>
      <x:c r="C176" s="524"/>
      <x:c r="D176" s="524"/>
      <x:c r="E176" s="524"/>
      <x:c r="F176" s="524"/>
      <x:c r="G176" s="524"/>
      <x:c r="H176" s="538" t="n"/>
      <x:c r="I176" s="524" t="str">
        <x:f>IF(A176="","",COUNTIF('7_Đơn hàng'!$G$4:$G$303,A176))</x:f>
      </x:c>
      <x:c r="J176" s="551" t="str">
        <x:f>IF(A176="","",SUMIF('7_Đơn hàng'!$G$4:$G$303,A176,'7_Đơn hàng'!$J$4:$J$303))</x:f>
      </x:c>
      <x:c r="K176" s="551" t="str">
        <x:f>IF(A176="","",SUMIF('7_Đơn hàng'!$G$4:$G$303,A176,'7_Đơn hàng'!$T$4:$T$303))</x:f>
      </x:c>
      <x:c r="L176" s="524"/>
    </x:row>
    <x:row r="177">
      <x:c r="A177" s="524"/>
      <x:c r="B177" s="524"/>
      <x:c r="C177" s="524"/>
      <x:c r="D177" s="524"/>
      <x:c r="E177" s="524"/>
      <x:c r="F177" s="524"/>
      <x:c r="G177" s="524"/>
      <x:c r="H177" s="538" t="n"/>
      <x:c r="I177" s="524" t="str">
        <x:f>IF(A177="","",COUNTIF('7_Đơn hàng'!$G$4:$G$303,A177))</x:f>
      </x:c>
      <x:c r="J177" s="551" t="str">
        <x:f>IF(A177="","",SUMIF('7_Đơn hàng'!$G$4:$G$303,A177,'7_Đơn hàng'!$J$4:$J$303))</x:f>
      </x:c>
      <x:c r="K177" s="551" t="str">
        <x:f>IF(A177="","",SUMIF('7_Đơn hàng'!$G$4:$G$303,A177,'7_Đơn hàng'!$T$4:$T$303))</x:f>
      </x:c>
      <x:c r="L177" s="524"/>
    </x:row>
    <x:row r="178">
      <x:c r="A178" s="524"/>
      <x:c r="B178" s="524"/>
      <x:c r="C178" s="524"/>
      <x:c r="D178" s="524"/>
      <x:c r="E178" s="524"/>
      <x:c r="F178" s="524"/>
      <x:c r="G178" s="524"/>
      <x:c r="H178" s="538" t="n"/>
      <x:c r="I178" s="524" t="str">
        <x:f>IF(A178="","",COUNTIF('7_Đơn hàng'!$G$4:$G$303,A178))</x:f>
      </x:c>
      <x:c r="J178" s="551" t="str">
        <x:f>IF(A178="","",SUMIF('7_Đơn hàng'!$G$4:$G$303,A178,'7_Đơn hàng'!$J$4:$J$303))</x:f>
      </x:c>
      <x:c r="K178" s="551" t="str">
        <x:f>IF(A178="","",SUMIF('7_Đơn hàng'!$G$4:$G$303,A178,'7_Đơn hàng'!$T$4:$T$303))</x:f>
      </x:c>
      <x:c r="L178" s="524"/>
    </x:row>
    <x:row r="179">
      <x:c r="A179" s="524"/>
      <x:c r="B179" s="524"/>
      <x:c r="C179" s="524"/>
      <x:c r="D179" s="524"/>
      <x:c r="E179" s="524"/>
      <x:c r="F179" s="524"/>
      <x:c r="G179" s="524"/>
      <x:c r="H179" s="538" t="n"/>
      <x:c r="I179" s="524" t="str">
        <x:f>IF(A179="","",COUNTIF('7_Đơn hàng'!$G$4:$G$303,A179))</x:f>
      </x:c>
      <x:c r="J179" s="551" t="str">
        <x:f>IF(A179="","",SUMIF('7_Đơn hàng'!$G$4:$G$303,A179,'7_Đơn hàng'!$J$4:$J$303))</x:f>
      </x:c>
      <x:c r="K179" s="551" t="str">
        <x:f>IF(A179="","",SUMIF('7_Đơn hàng'!$G$4:$G$303,A179,'7_Đơn hàng'!$T$4:$T$303))</x:f>
      </x:c>
      <x:c r="L179" s="524"/>
    </x:row>
    <x:row r="180">
      <x:c r="A180" s="524"/>
      <x:c r="B180" s="524"/>
      <x:c r="C180" s="524"/>
      <x:c r="D180" s="524"/>
      <x:c r="E180" s="524"/>
      <x:c r="F180" s="524"/>
      <x:c r="G180" s="524"/>
      <x:c r="H180" s="538" t="n"/>
      <x:c r="I180" s="524" t="str">
        <x:f>IF(A180="","",COUNTIF('7_Đơn hàng'!$G$4:$G$303,A180))</x:f>
      </x:c>
      <x:c r="J180" s="551" t="str">
        <x:f>IF(A180="","",SUMIF('7_Đơn hàng'!$G$4:$G$303,A180,'7_Đơn hàng'!$J$4:$J$303))</x:f>
      </x:c>
      <x:c r="K180" s="551" t="str">
        <x:f>IF(A180="","",SUMIF('7_Đơn hàng'!$G$4:$G$303,A180,'7_Đơn hàng'!$T$4:$T$303))</x:f>
      </x:c>
      <x:c r="L180" s="524"/>
    </x:row>
    <x:row r="181">
      <x:c r="A181" s="524"/>
      <x:c r="B181" s="524"/>
      <x:c r="C181" s="524"/>
      <x:c r="D181" s="524"/>
      <x:c r="E181" s="524"/>
      <x:c r="F181" s="524"/>
      <x:c r="G181" s="524"/>
      <x:c r="H181" s="538" t="n"/>
      <x:c r="I181" s="524" t="str">
        <x:f>IF(A181="","",COUNTIF('7_Đơn hàng'!$G$4:$G$303,A181))</x:f>
      </x:c>
      <x:c r="J181" s="551" t="str">
        <x:f>IF(A181="","",SUMIF('7_Đơn hàng'!$G$4:$G$303,A181,'7_Đơn hàng'!$J$4:$J$303))</x:f>
      </x:c>
      <x:c r="K181" s="551" t="str">
        <x:f>IF(A181="","",SUMIF('7_Đơn hàng'!$G$4:$G$303,A181,'7_Đơn hàng'!$T$4:$T$303))</x:f>
      </x:c>
      <x:c r="L181" s="524"/>
    </x:row>
    <x:row r="182">
      <x:c r="A182" s="524"/>
      <x:c r="B182" s="524"/>
      <x:c r="C182" s="524"/>
      <x:c r="D182" s="524"/>
      <x:c r="E182" s="524"/>
      <x:c r="F182" s="524"/>
      <x:c r="G182" s="524"/>
      <x:c r="H182" s="538" t="n"/>
      <x:c r="I182" s="524" t="str">
        <x:f>IF(A182="","",COUNTIF('7_Đơn hàng'!$G$4:$G$303,A182))</x:f>
      </x:c>
      <x:c r="J182" s="551" t="str">
        <x:f>IF(A182="","",SUMIF('7_Đơn hàng'!$G$4:$G$303,A182,'7_Đơn hàng'!$J$4:$J$303))</x:f>
      </x:c>
      <x:c r="K182" s="551" t="str">
        <x:f>IF(A182="","",SUMIF('7_Đơn hàng'!$G$4:$G$303,A182,'7_Đơn hàng'!$T$4:$T$303))</x:f>
      </x:c>
      <x:c r="L182" s="524"/>
    </x:row>
    <x:row r="183">
      <x:c r="A183" s="524"/>
      <x:c r="B183" s="524"/>
      <x:c r="C183" s="524"/>
      <x:c r="D183" s="524"/>
      <x:c r="E183" s="524"/>
      <x:c r="F183" s="524"/>
      <x:c r="G183" s="524"/>
      <x:c r="H183" s="538" t="n"/>
      <x:c r="I183" s="524" t="str">
        <x:f>IF(A183="","",COUNTIF('7_Đơn hàng'!$G$4:$G$303,A183))</x:f>
      </x:c>
      <x:c r="J183" s="551" t="str">
        <x:f>IF(A183="","",SUMIF('7_Đơn hàng'!$G$4:$G$303,A183,'7_Đơn hàng'!$J$4:$J$303))</x:f>
      </x:c>
      <x:c r="K183" s="551" t="str">
        <x:f>IF(A183="","",SUMIF('7_Đơn hàng'!$G$4:$G$303,A183,'7_Đơn hàng'!$T$4:$T$303))</x:f>
      </x:c>
      <x:c r="L183" s="524"/>
    </x:row>
    <x:row r="184">
      <x:c r="A184" s="524"/>
      <x:c r="B184" s="524"/>
      <x:c r="C184" s="524"/>
      <x:c r="D184" s="524"/>
      <x:c r="E184" s="524"/>
      <x:c r="F184" s="524"/>
      <x:c r="G184" s="524"/>
      <x:c r="H184" s="538" t="n"/>
      <x:c r="I184" s="524" t="str">
        <x:f>IF(A184="","",COUNTIF('7_Đơn hàng'!$G$4:$G$303,A184))</x:f>
      </x:c>
      <x:c r="J184" s="551" t="str">
        <x:f>IF(A184="","",SUMIF('7_Đơn hàng'!$G$4:$G$303,A184,'7_Đơn hàng'!$J$4:$J$303))</x:f>
      </x:c>
      <x:c r="K184" s="551" t="str">
        <x:f>IF(A184="","",SUMIF('7_Đơn hàng'!$G$4:$G$303,A184,'7_Đơn hàng'!$T$4:$T$303))</x:f>
      </x:c>
      <x:c r="L184" s="524"/>
    </x:row>
    <x:row r="185">
      <x:c r="A185" s="524"/>
      <x:c r="B185" s="524"/>
      <x:c r="C185" s="524"/>
      <x:c r="D185" s="524"/>
      <x:c r="E185" s="524"/>
      <x:c r="F185" s="524"/>
      <x:c r="G185" s="524"/>
      <x:c r="H185" s="538" t="n"/>
      <x:c r="I185" s="524" t="str">
        <x:f>IF(A185="","",COUNTIF('7_Đơn hàng'!$G$4:$G$303,A185))</x:f>
      </x:c>
      <x:c r="J185" s="551" t="str">
        <x:f>IF(A185="","",SUMIF('7_Đơn hàng'!$G$4:$G$303,A185,'7_Đơn hàng'!$J$4:$J$303))</x:f>
      </x:c>
      <x:c r="K185" s="551" t="str">
        <x:f>IF(A185="","",SUMIF('7_Đơn hàng'!$G$4:$G$303,A185,'7_Đơn hàng'!$T$4:$T$303))</x:f>
      </x:c>
      <x:c r="L185" s="524"/>
    </x:row>
    <x:row r="186">
      <x:c r="A186" s="524"/>
      <x:c r="B186" s="524"/>
      <x:c r="C186" s="524"/>
      <x:c r="D186" s="524"/>
      <x:c r="E186" s="524"/>
      <x:c r="F186" s="524"/>
      <x:c r="G186" s="524"/>
      <x:c r="H186" s="538" t="n"/>
      <x:c r="I186" s="524" t="str">
        <x:f>IF(A186="","",COUNTIF('7_Đơn hàng'!$G$4:$G$303,A186))</x:f>
      </x:c>
      <x:c r="J186" s="551" t="str">
        <x:f>IF(A186="","",SUMIF('7_Đơn hàng'!$G$4:$G$303,A186,'7_Đơn hàng'!$J$4:$J$303))</x:f>
      </x:c>
      <x:c r="K186" s="551" t="str">
        <x:f>IF(A186="","",SUMIF('7_Đơn hàng'!$G$4:$G$303,A186,'7_Đơn hàng'!$T$4:$T$303))</x:f>
      </x:c>
      <x:c r="L186" s="524"/>
    </x:row>
    <x:row r="187">
      <x:c r="A187" s="524"/>
      <x:c r="B187" s="524"/>
      <x:c r="C187" s="524"/>
      <x:c r="D187" s="524"/>
      <x:c r="E187" s="524"/>
      <x:c r="F187" s="524"/>
      <x:c r="G187" s="524"/>
      <x:c r="H187" s="538" t="n"/>
      <x:c r="I187" s="524" t="str">
        <x:f>IF(A187="","",COUNTIF('7_Đơn hàng'!$G$4:$G$303,A187))</x:f>
      </x:c>
      <x:c r="J187" s="551" t="str">
        <x:f>IF(A187="","",SUMIF('7_Đơn hàng'!$G$4:$G$303,A187,'7_Đơn hàng'!$J$4:$J$303))</x:f>
      </x:c>
      <x:c r="K187" s="551" t="str">
        <x:f>IF(A187="","",SUMIF('7_Đơn hàng'!$G$4:$G$303,A187,'7_Đơn hàng'!$T$4:$T$303))</x:f>
      </x:c>
      <x:c r="L187" s="524"/>
    </x:row>
    <x:row r="188">
      <x:c r="A188" s="524"/>
      <x:c r="B188" s="524"/>
      <x:c r="C188" s="524"/>
      <x:c r="D188" s="524"/>
      <x:c r="E188" s="524"/>
      <x:c r="F188" s="524"/>
      <x:c r="G188" s="524"/>
      <x:c r="H188" s="538" t="n"/>
      <x:c r="I188" s="524" t="str">
        <x:f>IF(A188="","",COUNTIF('7_Đơn hàng'!$G$4:$G$303,A188))</x:f>
      </x:c>
      <x:c r="J188" s="551" t="str">
        <x:f>IF(A188="","",SUMIF('7_Đơn hàng'!$G$4:$G$303,A188,'7_Đơn hàng'!$J$4:$J$303))</x:f>
      </x:c>
      <x:c r="K188" s="551" t="str">
        <x:f>IF(A188="","",SUMIF('7_Đơn hàng'!$G$4:$G$303,A188,'7_Đơn hàng'!$T$4:$T$303))</x:f>
      </x:c>
      <x:c r="L188" s="524"/>
    </x:row>
    <x:row r="189">
      <x:c r="A189" s="524"/>
      <x:c r="B189" s="524"/>
      <x:c r="C189" s="524"/>
      <x:c r="D189" s="524"/>
      <x:c r="E189" s="524"/>
      <x:c r="F189" s="524"/>
      <x:c r="G189" s="524"/>
      <x:c r="H189" s="538" t="n"/>
      <x:c r="I189" s="524" t="str">
        <x:f>IF(A189="","",COUNTIF('7_Đơn hàng'!$G$4:$G$303,A189))</x:f>
      </x:c>
      <x:c r="J189" s="551" t="str">
        <x:f>IF(A189="","",SUMIF('7_Đơn hàng'!$G$4:$G$303,A189,'7_Đơn hàng'!$J$4:$J$303))</x:f>
      </x:c>
      <x:c r="K189" s="551" t="str">
        <x:f>IF(A189="","",SUMIF('7_Đơn hàng'!$G$4:$G$303,A189,'7_Đơn hàng'!$T$4:$T$303))</x:f>
      </x:c>
      <x:c r="L189" s="524"/>
    </x:row>
    <x:row r="190">
      <x:c r="A190" s="524"/>
      <x:c r="B190" s="524"/>
      <x:c r="C190" s="524"/>
      <x:c r="D190" s="524"/>
      <x:c r="E190" s="524"/>
      <x:c r="F190" s="524"/>
      <x:c r="G190" s="524"/>
      <x:c r="H190" s="538" t="n"/>
      <x:c r="I190" s="524" t="str">
        <x:f>IF(A190="","",COUNTIF('7_Đơn hàng'!$G$4:$G$303,A190))</x:f>
      </x:c>
      <x:c r="J190" s="551" t="str">
        <x:f>IF(A190="","",SUMIF('7_Đơn hàng'!$G$4:$G$303,A190,'7_Đơn hàng'!$J$4:$J$303))</x:f>
      </x:c>
      <x:c r="K190" s="551" t="str">
        <x:f>IF(A190="","",SUMIF('7_Đơn hàng'!$G$4:$G$303,A190,'7_Đơn hàng'!$T$4:$T$303))</x:f>
      </x:c>
      <x:c r="L190" s="524"/>
    </x:row>
    <x:row r="191">
      <x:c r="A191" s="524"/>
      <x:c r="B191" s="524"/>
      <x:c r="C191" s="524"/>
      <x:c r="D191" s="524"/>
      <x:c r="E191" s="524"/>
      <x:c r="F191" s="524"/>
      <x:c r="G191" s="524"/>
      <x:c r="H191" s="538" t="n"/>
      <x:c r="I191" s="524" t="str">
        <x:f>IF(A191="","",COUNTIF('7_Đơn hàng'!$G$4:$G$303,A191))</x:f>
      </x:c>
      <x:c r="J191" s="551" t="str">
        <x:f>IF(A191="","",SUMIF('7_Đơn hàng'!$G$4:$G$303,A191,'7_Đơn hàng'!$J$4:$J$303))</x:f>
      </x:c>
      <x:c r="K191" s="551" t="str">
        <x:f>IF(A191="","",SUMIF('7_Đơn hàng'!$G$4:$G$303,A191,'7_Đơn hàng'!$T$4:$T$303))</x:f>
      </x:c>
      <x:c r="L191" s="524"/>
    </x:row>
    <x:row r="192">
      <x:c r="A192" s="524"/>
      <x:c r="B192" s="524"/>
      <x:c r="C192" s="524"/>
      <x:c r="D192" s="524"/>
      <x:c r="E192" s="524"/>
      <x:c r="F192" s="524"/>
      <x:c r="G192" s="524"/>
      <x:c r="H192" s="538" t="n"/>
      <x:c r="I192" s="524" t="str">
        <x:f>IF(A192="","",COUNTIF('7_Đơn hàng'!$G$4:$G$303,A192))</x:f>
      </x:c>
      <x:c r="J192" s="551" t="str">
        <x:f>IF(A192="","",SUMIF('7_Đơn hàng'!$G$4:$G$303,A192,'7_Đơn hàng'!$J$4:$J$303))</x:f>
      </x:c>
      <x:c r="K192" s="551" t="str">
        <x:f>IF(A192="","",SUMIF('7_Đơn hàng'!$G$4:$G$303,A192,'7_Đơn hàng'!$T$4:$T$303))</x:f>
      </x:c>
      <x:c r="L192" s="524"/>
    </x:row>
    <x:row r="193">
      <x:c r="A193" s="524"/>
      <x:c r="B193" s="524"/>
      <x:c r="C193" s="524"/>
      <x:c r="D193" s="524"/>
      <x:c r="E193" s="524"/>
      <x:c r="F193" s="524"/>
      <x:c r="G193" s="524"/>
      <x:c r="H193" s="538" t="n"/>
      <x:c r="I193" s="524" t="str">
        <x:f>IF(A193="","",COUNTIF('7_Đơn hàng'!$G$4:$G$303,A193))</x:f>
      </x:c>
      <x:c r="J193" s="551" t="str">
        <x:f>IF(A193="","",SUMIF('7_Đơn hàng'!$G$4:$G$303,A193,'7_Đơn hàng'!$J$4:$J$303))</x:f>
      </x:c>
      <x:c r="K193" s="551" t="str">
        <x:f>IF(A193="","",SUMIF('7_Đơn hàng'!$G$4:$G$303,A193,'7_Đơn hàng'!$T$4:$T$303))</x:f>
      </x:c>
      <x:c r="L193" s="524"/>
    </x:row>
    <x:row r="194">
      <x:c r="A194" s="524"/>
      <x:c r="B194" s="524"/>
      <x:c r="C194" s="524"/>
      <x:c r="D194" s="524"/>
      <x:c r="E194" s="524"/>
      <x:c r="F194" s="524"/>
      <x:c r="G194" s="524"/>
      <x:c r="H194" s="538" t="n"/>
      <x:c r="I194" s="524" t="str">
        <x:f>IF(A194="","",COUNTIF('7_Đơn hàng'!$G$4:$G$303,A194))</x:f>
      </x:c>
      <x:c r="J194" s="551" t="str">
        <x:f>IF(A194="","",SUMIF('7_Đơn hàng'!$G$4:$G$303,A194,'7_Đơn hàng'!$J$4:$J$303))</x:f>
      </x:c>
      <x:c r="K194" s="551" t="str">
        <x:f>IF(A194="","",SUMIF('7_Đơn hàng'!$G$4:$G$303,A194,'7_Đơn hàng'!$T$4:$T$303))</x:f>
      </x:c>
      <x:c r="L194" s="524"/>
    </x:row>
    <x:row r="195">
      <x:c r="A195" s="524"/>
      <x:c r="B195" s="524"/>
      <x:c r="C195" s="524"/>
      <x:c r="D195" s="524"/>
      <x:c r="E195" s="524"/>
      <x:c r="F195" s="524"/>
      <x:c r="G195" s="524"/>
      <x:c r="H195" s="538" t="n"/>
      <x:c r="I195" s="524" t="str">
        <x:f>IF(A195="","",COUNTIF('7_Đơn hàng'!$G$4:$G$303,A195))</x:f>
      </x:c>
      <x:c r="J195" s="551" t="str">
        <x:f>IF(A195="","",SUMIF('7_Đơn hàng'!$G$4:$G$303,A195,'7_Đơn hàng'!$J$4:$J$303))</x:f>
      </x:c>
      <x:c r="K195" s="551" t="str">
        <x:f>IF(A195="","",SUMIF('7_Đơn hàng'!$G$4:$G$303,A195,'7_Đơn hàng'!$T$4:$T$303))</x:f>
      </x:c>
      <x:c r="L195" s="524"/>
    </x:row>
    <x:row r="196">
      <x:c r="A196" s="524"/>
      <x:c r="B196" s="524"/>
      <x:c r="C196" s="524"/>
      <x:c r="D196" s="524"/>
      <x:c r="E196" s="524"/>
      <x:c r="F196" s="524"/>
      <x:c r="G196" s="524"/>
      <x:c r="H196" s="538" t="n"/>
      <x:c r="I196" s="524" t="str">
        <x:f>IF(A196="","",COUNTIF('7_Đơn hàng'!$G$4:$G$303,A196))</x:f>
      </x:c>
      <x:c r="J196" s="551" t="str">
        <x:f>IF(A196="","",SUMIF('7_Đơn hàng'!$G$4:$G$303,A196,'7_Đơn hàng'!$J$4:$J$303))</x:f>
      </x:c>
      <x:c r="K196" s="551" t="str">
        <x:f>IF(A196="","",SUMIF('7_Đơn hàng'!$G$4:$G$303,A196,'7_Đơn hàng'!$T$4:$T$303))</x:f>
      </x:c>
      <x:c r="L196" s="524"/>
    </x:row>
    <x:row r="197">
      <x:c r="A197" s="524"/>
      <x:c r="B197" s="524"/>
      <x:c r="C197" s="524"/>
      <x:c r="D197" s="524"/>
      <x:c r="E197" s="524"/>
      <x:c r="F197" s="524"/>
      <x:c r="G197" s="524"/>
      <x:c r="H197" s="538" t="n"/>
      <x:c r="I197" s="524" t="str">
        <x:f>IF(A197="","",COUNTIF('7_Đơn hàng'!$G$4:$G$303,A197))</x:f>
      </x:c>
      <x:c r="J197" s="551" t="str">
        <x:f>IF(A197="","",SUMIF('7_Đơn hàng'!$G$4:$G$303,A197,'7_Đơn hàng'!$J$4:$J$303))</x:f>
      </x:c>
      <x:c r="K197" s="551" t="str">
        <x:f>IF(A197="","",SUMIF('7_Đơn hàng'!$G$4:$G$303,A197,'7_Đơn hàng'!$T$4:$T$303))</x:f>
      </x:c>
      <x:c r="L197" s="524"/>
    </x:row>
    <x:row r="198">
      <x:c r="A198" s="524"/>
      <x:c r="B198" s="524"/>
      <x:c r="C198" s="524"/>
      <x:c r="D198" s="524"/>
      <x:c r="E198" s="524"/>
      <x:c r="F198" s="524"/>
      <x:c r="G198" s="524"/>
      <x:c r="H198" s="538" t="n"/>
      <x:c r="I198" s="524" t="str">
        <x:f>IF(A198="","",COUNTIF('7_Đơn hàng'!$G$4:$G$303,A198))</x:f>
      </x:c>
      <x:c r="J198" s="551" t="str">
        <x:f>IF(A198="","",SUMIF('7_Đơn hàng'!$G$4:$G$303,A198,'7_Đơn hàng'!$J$4:$J$303))</x:f>
      </x:c>
      <x:c r="K198" s="551" t="str">
        <x:f>IF(A198="","",SUMIF('7_Đơn hàng'!$G$4:$G$303,A198,'7_Đơn hàng'!$T$4:$T$303))</x:f>
      </x:c>
      <x:c r="L198" s="524"/>
    </x:row>
    <x:row r="199">
      <x:c r="A199" s="524"/>
      <x:c r="B199" s="524"/>
      <x:c r="C199" s="524"/>
      <x:c r="D199" s="524"/>
      <x:c r="E199" s="524"/>
      <x:c r="F199" s="524"/>
      <x:c r="G199" s="524"/>
      <x:c r="H199" s="538" t="n"/>
      <x:c r="I199" s="524" t="str">
        <x:f>IF(A199="","",COUNTIF('7_Đơn hàng'!$G$4:$G$303,A199))</x:f>
      </x:c>
      <x:c r="J199" s="551" t="str">
        <x:f>IF(A199="","",SUMIF('7_Đơn hàng'!$G$4:$G$303,A199,'7_Đơn hàng'!$J$4:$J$303))</x:f>
      </x:c>
      <x:c r="K199" s="551" t="str">
        <x:f>IF(A199="","",SUMIF('7_Đơn hàng'!$G$4:$G$303,A199,'7_Đơn hàng'!$T$4:$T$303))</x:f>
      </x:c>
      <x:c r="L199" s="524"/>
    </x:row>
    <x:row r="200">
      <x:c r="A200" s="524"/>
      <x:c r="B200" s="524"/>
      <x:c r="C200" s="524"/>
      <x:c r="D200" s="524"/>
      <x:c r="E200" s="524"/>
      <x:c r="F200" s="524"/>
      <x:c r="G200" s="524"/>
      <x:c r="H200" s="538" t="n"/>
      <x:c r="I200" s="524" t="str">
        <x:f>IF(A200="","",COUNTIF('7_Đơn hàng'!$G$4:$G$303,A200))</x:f>
      </x:c>
      <x:c r="J200" s="551" t="str">
        <x:f>IF(A200="","",SUMIF('7_Đơn hàng'!$G$4:$G$303,A200,'7_Đơn hàng'!$J$4:$J$303))</x:f>
      </x:c>
      <x:c r="K200" s="551" t="str">
        <x:f>IF(A200="","",SUMIF('7_Đơn hàng'!$G$4:$G$303,A200,'7_Đơn hàng'!$T$4:$T$303))</x:f>
      </x:c>
      <x:c r="L200" s="524"/>
    </x:row>
    <x:row r="201">
      <x:c r="A201" s="524"/>
      <x:c r="B201" s="524"/>
      <x:c r="C201" s="524"/>
      <x:c r="D201" s="524"/>
      <x:c r="E201" s="524"/>
      <x:c r="F201" s="524"/>
      <x:c r="G201" s="524"/>
      <x:c r="H201" s="538" t="n"/>
      <x:c r="I201" s="524" t="str">
        <x:f>IF(A201="","",COUNTIF('7_Đơn hàng'!$G$4:$G$303,A201))</x:f>
      </x:c>
      <x:c r="J201" s="551" t="str">
        <x:f>IF(A201="","",SUMIF('7_Đơn hàng'!$G$4:$G$303,A201,'7_Đơn hàng'!$J$4:$J$303))</x:f>
      </x:c>
      <x:c r="K201" s="551" t="str">
        <x:f>IF(A201="","",SUMIF('7_Đơn hàng'!$G$4:$G$303,A201,'7_Đơn hàng'!$T$4:$T$303))</x:f>
      </x:c>
      <x:c r="L201" s="524"/>
    </x:row>
    <x:row r="202">
      <x:c r="A202" s="524"/>
      <x:c r="B202" s="524"/>
      <x:c r="C202" s="524"/>
      <x:c r="D202" s="524"/>
      <x:c r="E202" s="524"/>
      <x:c r="F202" s="524"/>
      <x:c r="G202" s="524"/>
      <x:c r="H202" s="538" t="n"/>
      <x:c r="I202" s="524" t="str">
        <x:f>IF(A202="","",COUNTIF('7_Đơn hàng'!$G$4:$G$303,A202))</x:f>
      </x:c>
      <x:c r="J202" s="551" t="str">
        <x:f>IF(A202="","",SUMIF('7_Đơn hàng'!$G$4:$G$303,A202,'7_Đơn hàng'!$J$4:$J$303))</x:f>
      </x:c>
      <x:c r="K202" s="551" t="str">
        <x:f>IF(A202="","",SUMIF('7_Đơn hàng'!$G$4:$G$303,A202,'7_Đơn hàng'!$T$4:$T$303))</x:f>
      </x:c>
      <x:c r="L202" s="524"/>
    </x:row>
    <x:row r="203">
      <x:c r="A203" s="524"/>
      <x:c r="B203" s="524"/>
      <x:c r="C203" s="524"/>
      <x:c r="D203" s="524"/>
      <x:c r="E203" s="524"/>
      <x:c r="F203" s="524"/>
      <x:c r="G203" s="524"/>
      <x:c r="H203" s="538" t="n"/>
      <x:c r="I203" s="524" t="str">
        <x:f>IF(A203="","",COUNTIF('7_Đơn hàng'!$G$4:$G$303,A203))</x:f>
      </x:c>
      <x:c r="J203" s="551" t="str">
        <x:f>IF(A203="","",SUMIF('7_Đơn hàng'!$G$4:$G$303,A203,'7_Đơn hàng'!$J$4:$J$303))</x:f>
      </x:c>
      <x:c r="K203" s="551" t="str">
        <x:f>IF(A203="","",SUMIF('7_Đơn hàng'!$G$4:$G$303,A203,'7_Đơn hàng'!$T$4:$T$303))</x:f>
      </x:c>
      <x:c r="L203" s="524"/>
    </x:row>
    <x:row r="204">
      <x:c r="A204" s="524"/>
      <x:c r="B204" s="524"/>
      <x:c r="C204" s="524"/>
      <x:c r="D204" s="524"/>
      <x:c r="E204" s="524"/>
      <x:c r="F204" s="524"/>
      <x:c r="G204" s="524"/>
      <x:c r="H204" s="538" t="n"/>
      <x:c r="I204" s="524" t="str">
        <x:f>IF(A204="","",COUNTIF('7_Đơn hàng'!$G$4:$G$303,A204))</x:f>
      </x:c>
      <x:c r="J204" s="551" t="str">
        <x:f>IF(A204="","",SUMIF('7_Đơn hàng'!$G$4:$G$303,A204,'7_Đơn hàng'!$J$4:$J$303))</x:f>
      </x:c>
      <x:c r="K204" s="551" t="str">
        <x:f>IF(A204="","",SUMIF('7_Đơn hàng'!$G$4:$G$303,A204,'7_Đơn hàng'!$T$4:$T$303))</x:f>
      </x:c>
      <x:c r="L204" s="524"/>
    </x:row>
    <x:row r="205">
      <x:c r="A205" s="524"/>
      <x:c r="B205" s="524"/>
      <x:c r="C205" s="524"/>
      <x:c r="D205" s="524"/>
      <x:c r="E205" s="524"/>
      <x:c r="F205" s="524"/>
      <x:c r="G205" s="524"/>
      <x:c r="H205" s="538" t="n"/>
      <x:c r="I205" s="524" t="str">
        <x:f>IF(A205="","",COUNTIF('7_Đơn hàng'!$G$4:$G$303,A205))</x:f>
      </x:c>
      <x:c r="J205" s="551" t="str">
        <x:f>IF(A205="","",SUMIF('7_Đơn hàng'!$G$4:$G$303,A205,'7_Đơn hàng'!$J$4:$J$303))</x:f>
      </x:c>
      <x:c r="K205" s="551" t="str">
        <x:f>IF(A205="","",SUMIF('7_Đơn hàng'!$G$4:$G$303,A205,'7_Đơn hàng'!$T$4:$T$303))</x:f>
      </x:c>
      <x:c r="L205" s="524"/>
    </x:row>
    <x:row r="206">
      <x:c r="A206" s="524"/>
      <x:c r="B206" s="524"/>
      <x:c r="C206" s="524"/>
      <x:c r="D206" s="524"/>
      <x:c r="E206" s="524"/>
      <x:c r="F206" s="524"/>
      <x:c r="G206" s="524"/>
      <x:c r="H206" s="538" t="n"/>
      <x:c r="I206" s="524" t="str">
        <x:f>IF(A206="","",COUNTIF('7_Đơn hàng'!$G$4:$G$303,A206))</x:f>
      </x:c>
      <x:c r="J206" s="551" t="str">
        <x:f>IF(A206="","",SUMIF('7_Đơn hàng'!$G$4:$G$303,A206,'7_Đơn hàng'!$J$4:$J$303))</x:f>
      </x:c>
      <x:c r="K206" s="551" t="str">
        <x:f>IF(A206="","",SUMIF('7_Đơn hàng'!$G$4:$G$303,A206,'7_Đơn hàng'!$T$4:$T$303))</x:f>
      </x:c>
      <x:c r="L206" s="524"/>
    </x:row>
    <x:row r="207">
      <x:c r="A207" s="524"/>
      <x:c r="B207" s="524"/>
      <x:c r="C207" s="524"/>
      <x:c r="D207" s="524"/>
      <x:c r="E207" s="524"/>
      <x:c r="F207" s="524"/>
      <x:c r="G207" s="524"/>
      <x:c r="H207" s="538" t="n"/>
      <x:c r="I207" s="524" t="str">
        <x:f>IF(A207="","",COUNTIF('7_Đơn hàng'!$G$4:$G$303,A207))</x:f>
      </x:c>
      <x:c r="J207" s="551" t="str">
        <x:f>IF(A207="","",SUMIF('7_Đơn hàng'!$G$4:$G$303,A207,'7_Đơn hàng'!$J$4:$J$303))</x:f>
      </x:c>
      <x:c r="K207" s="551" t="str">
        <x:f>IF(A207="","",SUMIF('7_Đơn hàng'!$G$4:$G$303,A207,'7_Đơn hàng'!$T$4:$T$303))</x:f>
      </x:c>
      <x:c r="L207" s="524"/>
    </x:row>
    <x:row r="208">
      <x:c r="A208" s="524"/>
      <x:c r="B208" s="524"/>
      <x:c r="C208" s="524"/>
      <x:c r="D208" s="524"/>
      <x:c r="E208" s="524"/>
      <x:c r="F208" s="524"/>
      <x:c r="G208" s="524"/>
      <x:c r="H208" s="538" t="n"/>
      <x:c r="I208" s="524" t="str">
        <x:f>IF(A208="","",COUNTIF('7_Đơn hàng'!$G$4:$G$303,A208))</x:f>
      </x:c>
      <x:c r="J208" s="551" t="str">
        <x:f>IF(A208="","",SUMIF('7_Đơn hàng'!$G$4:$G$303,A208,'7_Đơn hàng'!$J$4:$J$303))</x:f>
      </x:c>
      <x:c r="K208" s="551" t="str">
        <x:f>IF(A208="","",SUMIF('7_Đơn hàng'!$G$4:$G$303,A208,'7_Đơn hàng'!$T$4:$T$303))</x:f>
      </x:c>
      <x:c r="L208" s="524"/>
    </x:row>
    <x:row r="209">
      <x:c r="A209" s="524"/>
      <x:c r="B209" s="524"/>
      <x:c r="C209" s="524"/>
      <x:c r="D209" s="524"/>
      <x:c r="E209" s="524"/>
      <x:c r="F209" s="524"/>
      <x:c r="G209" s="524"/>
      <x:c r="H209" s="538" t="n"/>
      <x:c r="I209" s="524" t="str">
        <x:f>IF(A209="","",COUNTIF('7_Đơn hàng'!$G$4:$G$303,A209))</x:f>
      </x:c>
      <x:c r="J209" s="551" t="str">
        <x:f>IF(A209="","",SUMIF('7_Đơn hàng'!$G$4:$G$303,A209,'7_Đơn hàng'!$J$4:$J$303))</x:f>
      </x:c>
      <x:c r="K209" s="551" t="str">
        <x:f>IF(A209="","",SUMIF('7_Đơn hàng'!$G$4:$G$303,A209,'7_Đơn hàng'!$T$4:$T$303))</x:f>
      </x:c>
      <x:c r="L209" s="524"/>
    </x:row>
    <x:row r="210">
      <x:c r="A210" s="524"/>
      <x:c r="B210" s="524"/>
      <x:c r="C210" s="524"/>
      <x:c r="D210" s="524"/>
      <x:c r="E210" s="524"/>
      <x:c r="F210" s="524"/>
      <x:c r="G210" s="524"/>
      <x:c r="H210" s="538" t="n"/>
      <x:c r="I210" s="524" t="str">
        <x:f>IF(A210="","",COUNTIF('7_Đơn hàng'!$G$4:$G$303,A210))</x:f>
      </x:c>
      <x:c r="J210" s="551" t="str">
        <x:f>IF(A210="","",SUMIF('7_Đơn hàng'!$G$4:$G$303,A210,'7_Đơn hàng'!$J$4:$J$303))</x:f>
      </x:c>
      <x:c r="K210" s="551" t="str">
        <x:f>IF(A210="","",SUMIF('7_Đơn hàng'!$G$4:$G$303,A210,'7_Đơn hàng'!$T$4:$T$303))</x:f>
      </x:c>
      <x:c r="L210" s="524"/>
    </x:row>
    <x:row r="211">
      <x:c r="A211" s="524"/>
      <x:c r="B211" s="524"/>
      <x:c r="C211" s="524"/>
      <x:c r="D211" s="524"/>
      <x:c r="E211" s="524"/>
      <x:c r="F211" s="524"/>
      <x:c r="G211" s="524"/>
      <x:c r="H211" s="538" t="n"/>
      <x:c r="I211" s="524" t="str">
        <x:f>IF(A211="","",COUNTIF('7_Đơn hàng'!$G$4:$G$303,A211))</x:f>
      </x:c>
      <x:c r="J211" s="551" t="str">
        <x:f>IF(A211="","",SUMIF('7_Đơn hàng'!$G$4:$G$303,A211,'7_Đơn hàng'!$J$4:$J$303))</x:f>
      </x:c>
      <x:c r="K211" s="551" t="str">
        <x:f>IF(A211="","",SUMIF('7_Đơn hàng'!$G$4:$G$303,A211,'7_Đơn hàng'!$T$4:$T$303))</x:f>
      </x:c>
      <x:c r="L211" s="524"/>
    </x:row>
    <x:row r="212">
      <x:c r="A212" s="524"/>
      <x:c r="B212" s="524"/>
      <x:c r="C212" s="524"/>
      <x:c r="D212" s="524"/>
      <x:c r="E212" s="524"/>
      <x:c r="F212" s="524"/>
      <x:c r="G212" s="524"/>
      <x:c r="H212" s="538" t="n"/>
      <x:c r="I212" s="524" t="str">
        <x:f>IF(A212="","",COUNTIF('7_Đơn hàng'!$G$4:$G$303,A212))</x:f>
      </x:c>
      <x:c r="J212" s="551" t="str">
        <x:f>IF(A212="","",SUMIF('7_Đơn hàng'!$G$4:$G$303,A212,'7_Đơn hàng'!$J$4:$J$303))</x:f>
      </x:c>
      <x:c r="K212" s="551" t="str">
        <x:f>IF(A212="","",SUMIF('7_Đơn hàng'!$G$4:$G$303,A212,'7_Đơn hàng'!$T$4:$T$303))</x:f>
      </x:c>
      <x:c r="L212" s="524"/>
    </x:row>
    <x:row r="213">
      <x:c r="A213" s="524"/>
      <x:c r="B213" s="524"/>
      <x:c r="C213" s="524"/>
      <x:c r="D213" s="524"/>
      <x:c r="E213" s="524"/>
      <x:c r="F213" s="524"/>
      <x:c r="G213" s="524"/>
      <x:c r="H213" s="538" t="n"/>
      <x:c r="I213" s="524" t="str">
        <x:f>IF(A213="","",COUNTIF('7_Đơn hàng'!$G$4:$G$303,A213))</x:f>
      </x:c>
      <x:c r="J213" s="551" t="str">
        <x:f>IF(A213="","",SUMIF('7_Đơn hàng'!$G$4:$G$303,A213,'7_Đơn hàng'!$J$4:$J$303))</x:f>
      </x:c>
      <x:c r="K213" s="551" t="str">
        <x:f>IF(A213="","",SUMIF('7_Đơn hàng'!$G$4:$G$303,A213,'7_Đơn hàng'!$T$4:$T$303))</x:f>
      </x:c>
      <x:c r="L213" s="524"/>
    </x:row>
    <x:row r="214">
      <x:c r="A214" s="524"/>
      <x:c r="B214" s="524"/>
      <x:c r="C214" s="524"/>
      <x:c r="D214" s="524"/>
      <x:c r="E214" s="524"/>
      <x:c r="F214" s="524"/>
      <x:c r="G214" s="524"/>
      <x:c r="H214" s="538" t="n"/>
      <x:c r="I214" s="524" t="str">
        <x:f>IF(A214="","",COUNTIF('7_Đơn hàng'!$G$4:$G$303,A214))</x:f>
      </x:c>
      <x:c r="J214" s="551" t="str">
        <x:f>IF(A214="","",SUMIF('7_Đơn hàng'!$G$4:$G$303,A214,'7_Đơn hàng'!$J$4:$J$303))</x:f>
      </x:c>
      <x:c r="K214" s="551" t="str">
        <x:f>IF(A214="","",SUMIF('7_Đơn hàng'!$G$4:$G$303,A214,'7_Đơn hàng'!$T$4:$T$303))</x:f>
      </x:c>
      <x:c r="L214" s="524"/>
    </x:row>
    <x:row r="215">
      <x:c r="A215" s="524"/>
      <x:c r="B215" s="524"/>
      <x:c r="C215" s="524"/>
      <x:c r="D215" s="524"/>
      <x:c r="E215" s="524"/>
      <x:c r="F215" s="524"/>
      <x:c r="G215" s="524"/>
      <x:c r="H215" s="538" t="n"/>
      <x:c r="I215" s="524" t="str">
        <x:f>IF(A215="","",COUNTIF('7_Đơn hàng'!$G$4:$G$303,A215))</x:f>
      </x:c>
      <x:c r="J215" s="551" t="str">
        <x:f>IF(A215="","",SUMIF('7_Đơn hàng'!$G$4:$G$303,A215,'7_Đơn hàng'!$J$4:$J$303))</x:f>
      </x:c>
      <x:c r="K215" s="551" t="str">
        <x:f>IF(A215="","",SUMIF('7_Đơn hàng'!$G$4:$G$303,A215,'7_Đơn hàng'!$T$4:$T$303))</x:f>
      </x:c>
      <x:c r="L215" s="524"/>
    </x:row>
    <x:row r="216">
      <x:c r="A216" s="524"/>
      <x:c r="B216" s="524"/>
      <x:c r="C216" s="524"/>
      <x:c r="D216" s="524"/>
      <x:c r="E216" s="524"/>
      <x:c r="F216" s="524"/>
      <x:c r="G216" s="524"/>
      <x:c r="H216" s="538" t="n"/>
      <x:c r="I216" s="524" t="str">
        <x:f>IF(A216="","",COUNTIF('7_Đơn hàng'!$G$4:$G$303,A216))</x:f>
      </x:c>
      <x:c r="J216" s="551" t="str">
        <x:f>IF(A216="","",SUMIF('7_Đơn hàng'!$G$4:$G$303,A216,'7_Đơn hàng'!$J$4:$J$303))</x:f>
      </x:c>
      <x:c r="K216" s="551" t="str">
        <x:f>IF(A216="","",SUMIF('7_Đơn hàng'!$G$4:$G$303,A216,'7_Đơn hàng'!$T$4:$T$303))</x:f>
      </x:c>
      <x:c r="L216" s="524"/>
    </x:row>
    <x:row r="217">
      <x:c r="A217" s="524"/>
      <x:c r="B217" s="524"/>
      <x:c r="C217" s="524"/>
      <x:c r="D217" s="524"/>
      <x:c r="E217" s="524"/>
      <x:c r="F217" s="524"/>
      <x:c r="G217" s="524"/>
      <x:c r="H217" s="538" t="n"/>
      <x:c r="I217" s="524" t="str">
        <x:f>IF(A217="","",COUNTIF('7_Đơn hàng'!$G$4:$G$303,A217))</x:f>
      </x:c>
      <x:c r="J217" s="551" t="str">
        <x:f>IF(A217="","",SUMIF('7_Đơn hàng'!$G$4:$G$303,A217,'7_Đơn hàng'!$J$4:$J$303))</x:f>
      </x:c>
      <x:c r="K217" s="551" t="str">
        <x:f>IF(A217="","",SUMIF('7_Đơn hàng'!$G$4:$G$303,A217,'7_Đơn hàng'!$T$4:$T$303))</x:f>
      </x:c>
      <x:c r="L217" s="524"/>
    </x:row>
    <x:row r="218">
      <x:c r="A218" s="524"/>
      <x:c r="B218" s="524"/>
      <x:c r="C218" s="524"/>
      <x:c r="D218" s="524"/>
      <x:c r="E218" s="524"/>
      <x:c r="F218" s="524"/>
      <x:c r="G218" s="524"/>
      <x:c r="H218" s="538" t="n"/>
      <x:c r="I218" s="524" t="str">
        <x:f>IF(A218="","",COUNTIF('7_Đơn hàng'!$G$4:$G$303,A218))</x:f>
      </x:c>
      <x:c r="J218" s="551" t="str">
        <x:f>IF(A218="","",SUMIF('7_Đơn hàng'!$G$4:$G$303,A218,'7_Đơn hàng'!$J$4:$J$303))</x:f>
      </x:c>
      <x:c r="K218" s="551" t="str">
        <x:f>IF(A218="","",SUMIF('7_Đơn hàng'!$G$4:$G$303,A218,'7_Đơn hàng'!$T$4:$T$303))</x:f>
      </x:c>
      <x:c r="L218" s="524"/>
    </x:row>
    <x:row r="219">
      <x:c r="A219" s="524"/>
      <x:c r="B219" s="524"/>
      <x:c r="C219" s="524"/>
      <x:c r="D219" s="524"/>
      <x:c r="E219" s="524"/>
      <x:c r="F219" s="524"/>
      <x:c r="G219" s="524"/>
      <x:c r="H219" s="538" t="n"/>
      <x:c r="I219" s="524" t="str">
        <x:f>IF(A219="","",COUNTIF('7_Đơn hàng'!$G$4:$G$303,A219))</x:f>
      </x:c>
      <x:c r="J219" s="551" t="str">
        <x:f>IF(A219="","",SUMIF('7_Đơn hàng'!$G$4:$G$303,A219,'7_Đơn hàng'!$J$4:$J$303))</x:f>
      </x:c>
      <x:c r="K219" s="551" t="str">
        <x:f>IF(A219="","",SUMIF('7_Đơn hàng'!$G$4:$G$303,A219,'7_Đơn hàng'!$T$4:$T$303))</x:f>
      </x:c>
      <x:c r="L219" s="524"/>
    </x:row>
    <x:row r="220">
      <x:c r="A220" s="524"/>
      <x:c r="B220" s="524"/>
      <x:c r="C220" s="524"/>
      <x:c r="D220" s="524"/>
      <x:c r="E220" s="524"/>
      <x:c r="F220" s="524"/>
      <x:c r="G220" s="524"/>
      <x:c r="H220" s="538" t="n"/>
      <x:c r="I220" s="524" t="str">
        <x:f>IF(A220="","",COUNTIF('7_Đơn hàng'!$G$4:$G$303,A220))</x:f>
      </x:c>
      <x:c r="J220" s="551" t="str">
        <x:f>IF(A220="","",SUMIF('7_Đơn hàng'!$G$4:$G$303,A220,'7_Đơn hàng'!$J$4:$J$303))</x:f>
      </x:c>
      <x:c r="K220" s="551" t="str">
        <x:f>IF(A220="","",SUMIF('7_Đơn hàng'!$G$4:$G$303,A220,'7_Đơn hàng'!$T$4:$T$303))</x:f>
      </x:c>
      <x:c r="L220" s="524"/>
    </x:row>
    <x:row r="221">
      <x:c r="A221" s="524"/>
      <x:c r="B221" s="524"/>
      <x:c r="C221" s="524"/>
      <x:c r="D221" s="524"/>
      <x:c r="E221" s="524"/>
      <x:c r="F221" s="524"/>
      <x:c r="G221" s="524"/>
      <x:c r="H221" s="538" t="n"/>
      <x:c r="I221" s="524" t="str">
        <x:f>IF(A221="","",COUNTIF('7_Đơn hàng'!$G$4:$G$303,A221))</x:f>
      </x:c>
      <x:c r="J221" s="551" t="str">
        <x:f>IF(A221="","",SUMIF('7_Đơn hàng'!$G$4:$G$303,A221,'7_Đơn hàng'!$J$4:$J$303))</x:f>
      </x:c>
      <x:c r="K221" s="551" t="str">
        <x:f>IF(A221="","",SUMIF('7_Đơn hàng'!$G$4:$G$303,A221,'7_Đơn hàng'!$T$4:$T$303))</x:f>
      </x:c>
      <x:c r="L221" s="524"/>
    </x:row>
    <x:row r="222">
      <x:c r="A222" s="524"/>
      <x:c r="B222" s="524"/>
      <x:c r="C222" s="524"/>
      <x:c r="D222" s="524"/>
      <x:c r="E222" s="524"/>
      <x:c r="F222" s="524"/>
      <x:c r="G222" s="524"/>
      <x:c r="H222" s="538" t="n"/>
      <x:c r="I222" s="524" t="str">
        <x:f>IF(A222="","",COUNTIF('7_Đơn hàng'!$G$4:$G$303,A222))</x:f>
      </x:c>
      <x:c r="J222" s="551" t="str">
        <x:f>IF(A222="","",SUMIF('7_Đơn hàng'!$G$4:$G$303,A222,'7_Đơn hàng'!$J$4:$J$303))</x:f>
      </x:c>
      <x:c r="K222" s="551" t="str">
        <x:f>IF(A222="","",SUMIF('7_Đơn hàng'!$G$4:$G$303,A222,'7_Đơn hàng'!$T$4:$T$303))</x:f>
      </x:c>
      <x:c r="L222" s="524"/>
    </x:row>
    <x:row r="223">
      <x:c r="A223" s="524"/>
      <x:c r="B223" s="524"/>
      <x:c r="C223" s="524"/>
      <x:c r="D223" s="524"/>
      <x:c r="E223" s="524"/>
      <x:c r="F223" s="524"/>
      <x:c r="G223" s="524"/>
      <x:c r="H223" s="538" t="n"/>
      <x:c r="I223" s="524" t="str">
        <x:f>IF(A223="","",COUNTIF('7_Đơn hàng'!$G$4:$G$303,A223))</x:f>
      </x:c>
      <x:c r="J223" s="551" t="str">
        <x:f>IF(A223="","",SUMIF('7_Đơn hàng'!$G$4:$G$303,A223,'7_Đơn hàng'!$J$4:$J$303))</x:f>
      </x:c>
      <x:c r="K223" s="551" t="str">
        <x:f>IF(A223="","",SUMIF('7_Đơn hàng'!$G$4:$G$303,A223,'7_Đơn hàng'!$T$4:$T$303))</x:f>
      </x:c>
      <x:c r="L223" s="524"/>
    </x:row>
    <x:row r="224">
      <x:c r="A224" s="524"/>
      <x:c r="B224" s="524"/>
      <x:c r="C224" s="524"/>
      <x:c r="D224" s="524"/>
      <x:c r="E224" s="524"/>
      <x:c r="F224" s="524"/>
      <x:c r="G224" s="524"/>
      <x:c r="H224" s="538" t="n"/>
      <x:c r="I224" s="524" t="str">
        <x:f>IF(A224="","",COUNTIF('7_Đơn hàng'!$G$4:$G$303,A224))</x:f>
      </x:c>
      <x:c r="J224" s="551" t="str">
        <x:f>IF(A224="","",SUMIF('7_Đơn hàng'!$G$4:$G$303,A224,'7_Đơn hàng'!$J$4:$J$303))</x:f>
      </x:c>
      <x:c r="K224" s="551" t="str">
        <x:f>IF(A224="","",SUMIF('7_Đơn hàng'!$G$4:$G$303,A224,'7_Đơn hàng'!$T$4:$T$303))</x:f>
      </x:c>
      <x:c r="L224" s="524"/>
    </x:row>
    <x:row r="225">
      <x:c r="A225" s="524"/>
      <x:c r="B225" s="524"/>
      <x:c r="C225" s="524"/>
      <x:c r="D225" s="524"/>
      <x:c r="E225" s="524"/>
      <x:c r="F225" s="524"/>
      <x:c r="G225" s="524"/>
      <x:c r="H225" s="538" t="n"/>
      <x:c r="I225" s="524" t="str">
        <x:f>IF(A225="","",COUNTIF('7_Đơn hàng'!$G$4:$G$303,A225))</x:f>
      </x:c>
      <x:c r="J225" s="551" t="str">
        <x:f>IF(A225="","",SUMIF('7_Đơn hàng'!$G$4:$G$303,A225,'7_Đơn hàng'!$J$4:$J$303))</x:f>
      </x:c>
      <x:c r="K225" s="551" t="str">
        <x:f>IF(A225="","",SUMIF('7_Đơn hàng'!$G$4:$G$303,A225,'7_Đơn hàng'!$T$4:$T$303))</x:f>
      </x:c>
      <x:c r="L225" s="524"/>
    </x:row>
    <x:row r="226">
      <x:c r="A226" s="524"/>
      <x:c r="B226" s="524"/>
      <x:c r="C226" s="524"/>
      <x:c r="D226" s="524"/>
      <x:c r="E226" s="524"/>
      <x:c r="F226" s="524"/>
      <x:c r="G226" s="524"/>
      <x:c r="H226" s="538" t="n"/>
      <x:c r="I226" s="524" t="str">
        <x:f>IF(A226="","",COUNTIF('7_Đơn hàng'!$G$4:$G$303,A226))</x:f>
      </x:c>
      <x:c r="J226" s="551" t="str">
        <x:f>IF(A226="","",SUMIF('7_Đơn hàng'!$G$4:$G$303,A226,'7_Đơn hàng'!$J$4:$J$303))</x:f>
      </x:c>
      <x:c r="K226" s="551" t="str">
        <x:f>IF(A226="","",SUMIF('7_Đơn hàng'!$G$4:$G$303,A226,'7_Đơn hàng'!$T$4:$T$303))</x:f>
      </x:c>
      <x:c r="L226" s="524"/>
    </x:row>
    <x:row r="227">
      <x:c r="A227" s="524"/>
      <x:c r="B227" s="524"/>
      <x:c r="C227" s="524"/>
      <x:c r="D227" s="524"/>
      <x:c r="E227" s="524"/>
      <x:c r="F227" s="524"/>
      <x:c r="G227" s="524"/>
      <x:c r="H227" s="538" t="n"/>
      <x:c r="I227" s="524" t="str">
        <x:f>IF(A227="","",COUNTIF('7_Đơn hàng'!$G$4:$G$303,A227))</x:f>
      </x:c>
      <x:c r="J227" s="551" t="str">
        <x:f>IF(A227="","",SUMIF('7_Đơn hàng'!$G$4:$G$303,A227,'7_Đơn hàng'!$J$4:$J$303))</x:f>
      </x:c>
      <x:c r="K227" s="551" t="str">
        <x:f>IF(A227="","",SUMIF('7_Đơn hàng'!$G$4:$G$303,A227,'7_Đơn hàng'!$T$4:$T$303))</x:f>
      </x:c>
      <x:c r="L227" s="524"/>
    </x:row>
    <x:row r="228">
      <x:c r="A228" s="524"/>
      <x:c r="B228" s="524"/>
      <x:c r="C228" s="524"/>
      <x:c r="D228" s="524"/>
      <x:c r="E228" s="524"/>
      <x:c r="F228" s="524"/>
      <x:c r="G228" s="524"/>
      <x:c r="H228" s="538" t="n"/>
      <x:c r="I228" s="524" t="str">
        <x:f>IF(A228="","",COUNTIF('7_Đơn hàng'!$G$4:$G$303,A228))</x:f>
      </x:c>
      <x:c r="J228" s="551" t="str">
        <x:f>IF(A228="","",SUMIF('7_Đơn hàng'!$G$4:$G$303,A228,'7_Đơn hàng'!$J$4:$J$303))</x:f>
      </x:c>
      <x:c r="K228" s="551" t="str">
        <x:f>IF(A228="","",SUMIF('7_Đơn hàng'!$G$4:$G$303,A228,'7_Đơn hàng'!$T$4:$T$303))</x:f>
      </x:c>
      <x:c r="L228" s="524"/>
    </x:row>
    <x:row r="229">
      <x:c r="A229" s="524"/>
      <x:c r="B229" s="524"/>
      <x:c r="C229" s="524"/>
      <x:c r="D229" s="524"/>
      <x:c r="E229" s="524"/>
      <x:c r="F229" s="524"/>
      <x:c r="G229" s="524"/>
      <x:c r="H229" s="538" t="n"/>
      <x:c r="I229" s="524" t="str">
        <x:f>IF(A229="","",COUNTIF('7_Đơn hàng'!$G$4:$G$303,A229))</x:f>
      </x:c>
      <x:c r="J229" s="551" t="str">
        <x:f>IF(A229="","",SUMIF('7_Đơn hàng'!$G$4:$G$303,A229,'7_Đơn hàng'!$J$4:$J$303))</x:f>
      </x:c>
      <x:c r="K229" s="551" t="str">
        <x:f>IF(A229="","",SUMIF('7_Đơn hàng'!$G$4:$G$303,A229,'7_Đơn hàng'!$T$4:$T$303))</x:f>
      </x:c>
      <x:c r="L229" s="524"/>
    </x:row>
    <x:row r="230">
      <x:c r="A230" s="524"/>
      <x:c r="B230" s="524"/>
      <x:c r="C230" s="524"/>
      <x:c r="D230" s="524"/>
      <x:c r="E230" s="524"/>
      <x:c r="F230" s="524"/>
      <x:c r="G230" s="524"/>
      <x:c r="H230" s="538" t="n"/>
      <x:c r="I230" s="524" t="str">
        <x:f>IF(A230="","",COUNTIF('7_Đơn hàng'!$G$4:$G$303,A230))</x:f>
      </x:c>
      <x:c r="J230" s="551" t="str">
        <x:f>IF(A230="","",SUMIF('7_Đơn hàng'!$G$4:$G$303,A230,'7_Đơn hàng'!$J$4:$J$303))</x:f>
      </x:c>
      <x:c r="K230" s="551" t="str">
        <x:f>IF(A230="","",SUMIF('7_Đơn hàng'!$G$4:$G$303,A230,'7_Đơn hàng'!$T$4:$T$303))</x:f>
      </x:c>
      <x:c r="L230" s="524"/>
    </x:row>
    <x:row r="231">
      <x:c r="A231" s="524"/>
      <x:c r="B231" s="524"/>
      <x:c r="C231" s="524"/>
      <x:c r="D231" s="524"/>
      <x:c r="E231" s="524"/>
      <x:c r="F231" s="524"/>
      <x:c r="G231" s="524"/>
      <x:c r="H231" s="538" t="n"/>
      <x:c r="I231" s="524" t="str">
        <x:f>IF(A231="","",COUNTIF('7_Đơn hàng'!$G$4:$G$303,A231))</x:f>
      </x:c>
      <x:c r="J231" s="551" t="str">
        <x:f>IF(A231="","",SUMIF('7_Đơn hàng'!$G$4:$G$303,A231,'7_Đơn hàng'!$J$4:$J$303))</x:f>
      </x:c>
      <x:c r="K231" s="551" t="str">
        <x:f>IF(A231="","",SUMIF('7_Đơn hàng'!$G$4:$G$303,A231,'7_Đơn hàng'!$T$4:$T$303))</x:f>
      </x:c>
      <x:c r="L231" s="524"/>
    </x:row>
    <x:row r="232">
      <x:c r="A232" s="524"/>
      <x:c r="B232" s="524"/>
      <x:c r="C232" s="524"/>
      <x:c r="D232" s="524"/>
      <x:c r="E232" s="524"/>
      <x:c r="F232" s="524"/>
      <x:c r="G232" s="524"/>
      <x:c r="H232" s="538" t="n"/>
      <x:c r="I232" s="524" t="str">
        <x:f>IF(A232="","",COUNTIF('7_Đơn hàng'!$G$4:$G$303,A232))</x:f>
      </x:c>
      <x:c r="J232" s="551" t="str">
        <x:f>IF(A232="","",SUMIF('7_Đơn hàng'!$G$4:$G$303,A232,'7_Đơn hàng'!$J$4:$J$303))</x:f>
      </x:c>
      <x:c r="K232" s="551" t="str">
        <x:f>IF(A232="","",SUMIF('7_Đơn hàng'!$G$4:$G$303,A232,'7_Đơn hàng'!$T$4:$T$303))</x:f>
      </x:c>
      <x:c r="L232" s="524"/>
    </x:row>
    <x:row r="233">
      <x:c r="A233" s="524"/>
      <x:c r="B233" s="524"/>
      <x:c r="C233" s="524"/>
      <x:c r="D233" s="524"/>
      <x:c r="E233" s="524"/>
      <x:c r="F233" s="524"/>
      <x:c r="G233" s="524"/>
      <x:c r="H233" s="538" t="n"/>
      <x:c r="I233" s="524" t="str">
        <x:f>IF(A233="","",COUNTIF('7_Đơn hàng'!$G$4:$G$303,A233))</x:f>
      </x:c>
      <x:c r="J233" s="551" t="str">
        <x:f>IF(A233="","",SUMIF('7_Đơn hàng'!$G$4:$G$303,A233,'7_Đơn hàng'!$J$4:$J$303))</x:f>
      </x:c>
      <x:c r="K233" s="551" t="str">
        <x:f>IF(A233="","",SUMIF('7_Đơn hàng'!$G$4:$G$303,A233,'7_Đơn hàng'!$T$4:$T$303))</x:f>
      </x:c>
      <x:c r="L233" s="524"/>
    </x:row>
    <x:row r="234">
      <x:c r="A234" s="524"/>
      <x:c r="B234" s="524"/>
      <x:c r="C234" s="524"/>
      <x:c r="D234" s="524"/>
      <x:c r="E234" s="524"/>
      <x:c r="F234" s="524"/>
      <x:c r="G234" s="524"/>
      <x:c r="H234" s="538" t="n"/>
      <x:c r="I234" s="524" t="str">
        <x:f>IF(A234="","",COUNTIF('7_Đơn hàng'!$G$4:$G$303,A234))</x:f>
      </x:c>
      <x:c r="J234" s="551" t="str">
        <x:f>IF(A234="","",SUMIF('7_Đơn hàng'!$G$4:$G$303,A234,'7_Đơn hàng'!$J$4:$J$303))</x:f>
      </x:c>
      <x:c r="K234" s="551" t="str">
        <x:f>IF(A234="","",SUMIF('7_Đơn hàng'!$G$4:$G$303,A234,'7_Đơn hàng'!$T$4:$T$303))</x:f>
      </x:c>
      <x:c r="L234" s="524"/>
    </x:row>
    <x:row r="235">
      <x:c r="A235" s="524"/>
      <x:c r="B235" s="524"/>
      <x:c r="C235" s="524"/>
      <x:c r="D235" s="524"/>
      <x:c r="E235" s="524"/>
      <x:c r="F235" s="524"/>
      <x:c r="G235" s="524"/>
      <x:c r="H235" s="538" t="n"/>
      <x:c r="I235" s="524" t="str">
        <x:f>IF(A235="","",COUNTIF('7_Đơn hàng'!$G$4:$G$303,A235))</x:f>
      </x:c>
      <x:c r="J235" s="551" t="str">
        <x:f>IF(A235="","",SUMIF('7_Đơn hàng'!$G$4:$G$303,A235,'7_Đơn hàng'!$J$4:$J$303))</x:f>
      </x:c>
      <x:c r="K235" s="551" t="str">
        <x:f>IF(A235="","",SUMIF('7_Đơn hàng'!$G$4:$G$303,A235,'7_Đơn hàng'!$T$4:$T$303))</x:f>
      </x:c>
      <x:c r="L235" s="524"/>
    </x:row>
    <x:row r="236">
      <x:c r="A236" s="524"/>
      <x:c r="B236" s="524"/>
      <x:c r="C236" s="524"/>
      <x:c r="D236" s="524"/>
      <x:c r="E236" s="524"/>
      <x:c r="F236" s="524"/>
      <x:c r="G236" s="524"/>
      <x:c r="H236" s="538" t="n"/>
      <x:c r="I236" s="524" t="str">
        <x:f>IF(A236="","",COUNTIF('7_Đơn hàng'!$G$4:$G$303,A236))</x:f>
      </x:c>
      <x:c r="J236" s="551" t="str">
        <x:f>IF(A236="","",SUMIF('7_Đơn hàng'!$G$4:$G$303,A236,'7_Đơn hàng'!$J$4:$J$303))</x:f>
      </x:c>
      <x:c r="K236" s="551" t="str">
        <x:f>IF(A236="","",SUMIF('7_Đơn hàng'!$G$4:$G$303,A236,'7_Đơn hàng'!$T$4:$T$303))</x:f>
      </x:c>
      <x:c r="L236" s="524"/>
    </x:row>
    <x:row r="237">
      <x:c r="A237" s="524"/>
      <x:c r="B237" s="524"/>
      <x:c r="C237" s="524"/>
      <x:c r="D237" s="524"/>
      <x:c r="E237" s="524"/>
      <x:c r="F237" s="524"/>
      <x:c r="G237" s="524"/>
      <x:c r="H237" s="538" t="n"/>
      <x:c r="I237" s="524" t="str">
        <x:f>IF(A237="","",COUNTIF('7_Đơn hàng'!$G$4:$G$303,A237))</x:f>
      </x:c>
      <x:c r="J237" s="551" t="str">
        <x:f>IF(A237="","",SUMIF('7_Đơn hàng'!$G$4:$G$303,A237,'7_Đơn hàng'!$J$4:$J$303))</x:f>
      </x:c>
      <x:c r="K237" s="551" t="str">
        <x:f>IF(A237="","",SUMIF('7_Đơn hàng'!$G$4:$G$303,A237,'7_Đơn hàng'!$T$4:$T$303))</x:f>
      </x:c>
      <x:c r="L237" s="524"/>
    </x:row>
    <x:row r="238">
      <x:c r="A238" s="524"/>
      <x:c r="B238" s="524"/>
      <x:c r="C238" s="524"/>
      <x:c r="D238" s="524"/>
      <x:c r="E238" s="524"/>
      <x:c r="F238" s="524"/>
      <x:c r="G238" s="524"/>
      <x:c r="H238" s="538" t="n"/>
      <x:c r="I238" s="524" t="str">
        <x:f>IF(A238="","",COUNTIF('7_Đơn hàng'!$G$4:$G$303,A238))</x:f>
      </x:c>
      <x:c r="J238" s="551" t="str">
        <x:f>IF(A238="","",SUMIF('7_Đơn hàng'!$G$4:$G$303,A238,'7_Đơn hàng'!$J$4:$J$303))</x:f>
      </x:c>
      <x:c r="K238" s="551" t="str">
        <x:f>IF(A238="","",SUMIF('7_Đơn hàng'!$G$4:$G$303,A238,'7_Đơn hàng'!$T$4:$T$303))</x:f>
      </x:c>
      <x:c r="L238" s="524"/>
    </x:row>
    <x:row r="239">
      <x:c r="A239" s="524"/>
      <x:c r="B239" s="524"/>
      <x:c r="C239" s="524"/>
      <x:c r="D239" s="524"/>
      <x:c r="E239" s="524"/>
      <x:c r="F239" s="524"/>
      <x:c r="G239" s="524"/>
      <x:c r="H239" s="538" t="n"/>
      <x:c r="I239" s="524" t="str">
        <x:f>IF(A239="","",COUNTIF('7_Đơn hàng'!$G$4:$G$303,A239))</x:f>
      </x:c>
      <x:c r="J239" s="551" t="str">
        <x:f>IF(A239="","",SUMIF('7_Đơn hàng'!$G$4:$G$303,A239,'7_Đơn hàng'!$J$4:$J$303))</x:f>
      </x:c>
      <x:c r="K239" s="551" t="str">
        <x:f>IF(A239="","",SUMIF('7_Đơn hàng'!$G$4:$G$303,A239,'7_Đơn hàng'!$T$4:$T$303))</x:f>
      </x:c>
      <x:c r="L239" s="524"/>
    </x:row>
    <x:row r="240">
      <x:c r="A240" s="524"/>
      <x:c r="B240" s="524"/>
      <x:c r="C240" s="524"/>
      <x:c r="D240" s="524"/>
      <x:c r="E240" s="524"/>
      <x:c r="F240" s="524"/>
      <x:c r="G240" s="524"/>
      <x:c r="H240" s="538" t="n"/>
      <x:c r="I240" s="524" t="str">
        <x:f>IF(A240="","",COUNTIF('7_Đơn hàng'!$G$4:$G$303,A240))</x:f>
      </x:c>
      <x:c r="J240" s="551" t="str">
        <x:f>IF(A240="","",SUMIF('7_Đơn hàng'!$G$4:$G$303,A240,'7_Đơn hàng'!$J$4:$J$303))</x:f>
      </x:c>
      <x:c r="K240" s="551" t="str">
        <x:f>IF(A240="","",SUMIF('7_Đơn hàng'!$G$4:$G$303,A240,'7_Đơn hàng'!$T$4:$T$303))</x:f>
      </x:c>
      <x:c r="L240" s="524"/>
    </x:row>
    <x:row r="241">
      <x:c r="A241" s="524"/>
      <x:c r="B241" s="524"/>
      <x:c r="C241" s="524"/>
      <x:c r="D241" s="524"/>
      <x:c r="E241" s="524"/>
      <x:c r="F241" s="524"/>
      <x:c r="G241" s="524"/>
      <x:c r="H241" s="538" t="n"/>
      <x:c r="I241" s="524" t="str">
        <x:f>IF(A241="","",COUNTIF('7_Đơn hàng'!$G$4:$G$303,A241))</x:f>
      </x:c>
      <x:c r="J241" s="551" t="str">
        <x:f>IF(A241="","",SUMIF('7_Đơn hàng'!$G$4:$G$303,A241,'7_Đơn hàng'!$J$4:$J$303))</x:f>
      </x:c>
      <x:c r="K241" s="551" t="str">
        <x:f>IF(A241="","",SUMIF('7_Đơn hàng'!$G$4:$G$303,A241,'7_Đơn hàng'!$T$4:$T$303))</x:f>
      </x:c>
      <x:c r="L241" s="524"/>
    </x:row>
    <x:row r="242">
      <x:c r="A242" s="524"/>
      <x:c r="B242" s="524"/>
      <x:c r="C242" s="524"/>
      <x:c r="D242" s="524"/>
      <x:c r="E242" s="524"/>
      <x:c r="F242" s="524"/>
      <x:c r="G242" s="524"/>
      <x:c r="H242" s="538" t="n"/>
      <x:c r="I242" s="524" t="str">
        <x:f>IF(A242="","",COUNTIF('7_Đơn hàng'!$G$4:$G$303,A242))</x:f>
      </x:c>
      <x:c r="J242" s="551" t="str">
        <x:f>IF(A242="","",SUMIF('7_Đơn hàng'!$G$4:$G$303,A242,'7_Đơn hàng'!$J$4:$J$303))</x:f>
      </x:c>
      <x:c r="K242" s="551" t="str">
        <x:f>IF(A242="","",SUMIF('7_Đơn hàng'!$G$4:$G$303,A242,'7_Đơn hàng'!$T$4:$T$303))</x:f>
      </x:c>
      <x:c r="L242" s="524"/>
    </x:row>
    <x:row r="243">
      <x:c r="A243" s="524"/>
      <x:c r="B243" s="524"/>
      <x:c r="C243" s="524"/>
      <x:c r="D243" s="524"/>
      <x:c r="E243" s="524"/>
      <x:c r="F243" s="524"/>
      <x:c r="G243" s="524"/>
      <x:c r="H243" s="538" t="n"/>
      <x:c r="I243" s="524" t="str">
        <x:f>IF(A243="","",COUNTIF('7_Đơn hàng'!$G$4:$G$303,A243))</x:f>
      </x:c>
      <x:c r="J243" s="551" t="str">
        <x:f>IF(A243="","",SUMIF('7_Đơn hàng'!$G$4:$G$303,A243,'7_Đơn hàng'!$J$4:$J$303))</x:f>
      </x:c>
      <x:c r="K243" s="551" t="str">
        <x:f>IF(A243="","",SUMIF('7_Đơn hàng'!$G$4:$G$303,A243,'7_Đơn hàng'!$T$4:$T$303))</x:f>
      </x:c>
      <x:c r="L243" s="524"/>
    </x:row>
    <x:row r="244">
      <x:c r="A244" s="524"/>
      <x:c r="B244" s="524"/>
      <x:c r="C244" s="524"/>
      <x:c r="D244" s="524"/>
      <x:c r="E244" s="524"/>
      <x:c r="F244" s="524"/>
      <x:c r="G244" s="524"/>
      <x:c r="H244" s="538" t="n"/>
      <x:c r="I244" s="524" t="str">
        <x:f>IF(A244="","",COUNTIF('7_Đơn hàng'!$G$4:$G$303,A244))</x:f>
      </x:c>
      <x:c r="J244" s="551" t="str">
        <x:f>IF(A244="","",SUMIF('7_Đơn hàng'!$G$4:$G$303,A244,'7_Đơn hàng'!$J$4:$J$303))</x:f>
      </x:c>
      <x:c r="K244" s="551" t="str">
        <x:f>IF(A244="","",SUMIF('7_Đơn hàng'!$G$4:$G$303,A244,'7_Đơn hàng'!$T$4:$T$303))</x:f>
      </x:c>
      <x:c r="L244" s="524"/>
    </x:row>
    <x:row r="245">
      <x:c r="A245" s="524"/>
      <x:c r="B245" s="524"/>
      <x:c r="C245" s="524"/>
      <x:c r="D245" s="524"/>
      <x:c r="E245" s="524"/>
      <x:c r="F245" s="524"/>
      <x:c r="G245" s="524"/>
      <x:c r="H245" s="538" t="n"/>
      <x:c r="I245" s="524" t="str">
        <x:f>IF(A245="","",COUNTIF('7_Đơn hàng'!$G$4:$G$303,A245))</x:f>
      </x:c>
      <x:c r="J245" s="551" t="str">
        <x:f>IF(A245="","",SUMIF('7_Đơn hàng'!$G$4:$G$303,A245,'7_Đơn hàng'!$J$4:$J$303))</x:f>
      </x:c>
      <x:c r="K245" s="551" t="str">
        <x:f>IF(A245="","",SUMIF('7_Đơn hàng'!$G$4:$G$303,A245,'7_Đơn hàng'!$T$4:$T$303))</x:f>
      </x:c>
      <x:c r="L245" s="524"/>
    </x:row>
    <x:row r="246">
      <x:c r="A246" s="524"/>
      <x:c r="B246" s="524"/>
      <x:c r="C246" s="524"/>
      <x:c r="D246" s="524"/>
      <x:c r="E246" s="524"/>
      <x:c r="F246" s="524"/>
      <x:c r="G246" s="524"/>
      <x:c r="H246" s="538" t="n"/>
      <x:c r="I246" s="524" t="str">
        <x:f>IF(A246="","",COUNTIF('7_Đơn hàng'!$G$4:$G$303,A246))</x:f>
      </x:c>
      <x:c r="J246" s="551" t="str">
        <x:f>IF(A246="","",SUMIF('7_Đơn hàng'!$G$4:$G$303,A246,'7_Đơn hàng'!$J$4:$J$303))</x:f>
      </x:c>
      <x:c r="K246" s="551" t="str">
        <x:f>IF(A246="","",SUMIF('7_Đơn hàng'!$G$4:$G$303,A246,'7_Đơn hàng'!$T$4:$T$303))</x:f>
      </x:c>
      <x:c r="L246" s="524"/>
    </x:row>
    <x:row r="247">
      <x:c r="A247" s="524"/>
      <x:c r="B247" s="524"/>
      <x:c r="C247" s="524"/>
      <x:c r="D247" s="524"/>
      <x:c r="E247" s="524"/>
      <x:c r="F247" s="524"/>
      <x:c r="G247" s="524"/>
      <x:c r="H247" s="538" t="n"/>
      <x:c r="I247" s="524" t="str">
        <x:f>IF(A247="","",COUNTIF('7_Đơn hàng'!$G$4:$G$303,A247))</x:f>
      </x:c>
      <x:c r="J247" s="551" t="str">
        <x:f>IF(A247="","",SUMIF('7_Đơn hàng'!$G$4:$G$303,A247,'7_Đơn hàng'!$J$4:$J$303))</x:f>
      </x:c>
      <x:c r="K247" s="551" t="str">
        <x:f>IF(A247="","",SUMIF('7_Đơn hàng'!$G$4:$G$303,A247,'7_Đơn hàng'!$T$4:$T$303))</x:f>
      </x:c>
      <x:c r="L247" s="524"/>
    </x:row>
    <x:row r="248">
      <x:c r="A248" s="524"/>
      <x:c r="B248" s="524"/>
      <x:c r="C248" s="524"/>
      <x:c r="D248" s="524"/>
      <x:c r="E248" s="524"/>
      <x:c r="F248" s="524"/>
      <x:c r="G248" s="524"/>
      <x:c r="H248" s="538" t="n"/>
      <x:c r="I248" s="524" t="str">
        <x:f>IF(A248="","",COUNTIF('7_Đơn hàng'!$G$4:$G$303,A248))</x:f>
      </x:c>
      <x:c r="J248" s="551" t="str">
        <x:f>IF(A248="","",SUMIF('7_Đơn hàng'!$G$4:$G$303,A248,'7_Đơn hàng'!$J$4:$J$303))</x:f>
      </x:c>
      <x:c r="K248" s="551" t="str">
        <x:f>IF(A248="","",SUMIF('7_Đơn hàng'!$G$4:$G$303,A248,'7_Đơn hàng'!$T$4:$T$303))</x:f>
      </x:c>
      <x:c r="L248" s="524"/>
    </x:row>
    <x:row r="249">
      <x:c r="A249" s="524"/>
      <x:c r="B249" s="524"/>
      <x:c r="C249" s="524"/>
      <x:c r="D249" s="524"/>
      <x:c r="E249" s="524"/>
      <x:c r="F249" s="524"/>
      <x:c r="G249" s="524"/>
      <x:c r="H249" s="538" t="n"/>
      <x:c r="I249" s="524" t="str">
        <x:f>IF(A249="","",COUNTIF('7_Đơn hàng'!$G$4:$G$303,A249))</x:f>
      </x:c>
      <x:c r="J249" s="551" t="str">
        <x:f>IF(A249="","",SUMIF('7_Đơn hàng'!$G$4:$G$303,A249,'7_Đơn hàng'!$J$4:$J$303))</x:f>
      </x:c>
      <x:c r="K249" s="551" t="str">
        <x:f>IF(A249="","",SUMIF('7_Đơn hàng'!$G$4:$G$303,A249,'7_Đơn hàng'!$T$4:$T$303))</x:f>
      </x:c>
      <x:c r="L249" s="524"/>
    </x:row>
    <x:row r="250">
      <x:c r="A250" s="524"/>
      <x:c r="B250" s="524"/>
      <x:c r="C250" s="524"/>
      <x:c r="D250" s="524"/>
      <x:c r="E250" s="524"/>
      <x:c r="F250" s="524"/>
      <x:c r="G250" s="524"/>
      <x:c r="H250" s="538" t="n"/>
      <x:c r="I250" s="524" t="str">
        <x:f>IF(A250="","",COUNTIF('7_Đơn hàng'!$G$4:$G$303,A250))</x:f>
      </x:c>
      <x:c r="J250" s="551" t="str">
        <x:f>IF(A250="","",SUMIF('7_Đơn hàng'!$G$4:$G$303,A250,'7_Đơn hàng'!$J$4:$J$303))</x:f>
      </x:c>
      <x:c r="K250" s="551" t="str">
        <x:f>IF(A250="","",SUMIF('7_Đơn hàng'!$G$4:$G$303,A250,'7_Đơn hàng'!$T$4:$T$303))</x:f>
      </x:c>
      <x:c r="L250" s="524"/>
    </x:row>
    <x:row r="251">
      <x:c r="A251" s="524"/>
      <x:c r="B251" s="524"/>
      <x:c r="C251" s="524"/>
      <x:c r="D251" s="524"/>
      <x:c r="E251" s="524"/>
      <x:c r="F251" s="524"/>
      <x:c r="G251" s="524"/>
      <x:c r="H251" s="538" t="n"/>
      <x:c r="I251" s="524" t="str">
        <x:f>IF(A251="","",COUNTIF('7_Đơn hàng'!$G$4:$G$303,A251))</x:f>
      </x:c>
      <x:c r="J251" s="551" t="str">
        <x:f>IF(A251="","",SUMIF('7_Đơn hàng'!$G$4:$G$303,A251,'7_Đơn hàng'!$J$4:$J$303))</x:f>
      </x:c>
      <x:c r="K251" s="551" t="str">
        <x:f>IF(A251="","",SUMIF('7_Đơn hàng'!$G$4:$G$303,A251,'7_Đơn hàng'!$T$4:$T$303))</x:f>
      </x:c>
      <x:c r="L251" s="524"/>
    </x:row>
    <x:row r="252">
      <x:c r="A252" s="524"/>
      <x:c r="B252" s="524"/>
      <x:c r="C252" s="524"/>
      <x:c r="D252" s="524"/>
      <x:c r="E252" s="524"/>
      <x:c r="F252" s="524"/>
      <x:c r="G252" s="524"/>
      <x:c r="H252" s="538" t="n"/>
      <x:c r="I252" s="524" t="str">
        <x:f>IF(A252="","",COUNTIF('7_Đơn hàng'!$G$4:$G$303,A252))</x:f>
      </x:c>
      <x:c r="J252" s="551" t="str">
        <x:f>IF(A252="","",SUMIF('7_Đơn hàng'!$G$4:$G$303,A252,'7_Đơn hàng'!$J$4:$J$303))</x:f>
      </x:c>
      <x:c r="K252" s="551" t="str">
        <x:f>IF(A252="","",SUMIF('7_Đơn hàng'!$G$4:$G$303,A252,'7_Đơn hàng'!$T$4:$T$303))</x:f>
      </x:c>
      <x:c r="L252" s="524"/>
    </x:row>
    <x:row r="253">
      <x:c r="A253" s="524"/>
      <x:c r="B253" s="524"/>
      <x:c r="C253" s="524"/>
      <x:c r="D253" s="524"/>
      <x:c r="E253" s="524"/>
      <x:c r="F253" s="524"/>
      <x:c r="G253" s="524"/>
      <x:c r="H253" s="538" t="n"/>
      <x:c r="I253" s="524" t="str">
        <x:f>IF(A253="","",COUNTIF('7_Đơn hàng'!$G$4:$G$303,A253))</x:f>
      </x:c>
      <x:c r="J253" s="551" t="str">
        <x:f>IF(A253="","",SUMIF('7_Đơn hàng'!$G$4:$G$303,A253,'7_Đơn hàng'!$J$4:$J$303))</x:f>
      </x:c>
      <x:c r="K253" s="551" t="str">
        <x:f>IF(A253="","",SUMIF('7_Đơn hàng'!$G$4:$G$303,A253,'7_Đơn hàng'!$T$4:$T$303))</x:f>
      </x:c>
      <x:c r="L253" s="524"/>
    </x:row>
    <x:row r="254">
      <x:c r="A254" s="524"/>
      <x:c r="B254" s="524"/>
      <x:c r="C254" s="524"/>
      <x:c r="D254" s="524"/>
      <x:c r="E254" s="524"/>
      <x:c r="F254" s="524"/>
      <x:c r="G254" s="524"/>
      <x:c r="H254" s="538" t="n"/>
      <x:c r="I254" s="524" t="str">
        <x:f>IF(A254="","",COUNTIF('7_Đơn hàng'!$G$4:$G$303,A254))</x:f>
      </x:c>
      <x:c r="J254" s="551" t="str">
        <x:f>IF(A254="","",SUMIF('7_Đơn hàng'!$G$4:$G$303,A254,'7_Đơn hàng'!$J$4:$J$303))</x:f>
      </x:c>
      <x:c r="K254" s="551" t="str">
        <x:f>IF(A254="","",SUMIF('7_Đơn hàng'!$G$4:$G$303,A254,'7_Đơn hàng'!$T$4:$T$303))</x:f>
      </x:c>
      <x:c r="L254" s="524"/>
    </x:row>
    <x:row r="255">
      <x:c r="A255" s="524"/>
      <x:c r="B255" s="524"/>
      <x:c r="C255" s="524"/>
      <x:c r="D255" s="524"/>
      <x:c r="E255" s="524"/>
      <x:c r="F255" s="524"/>
      <x:c r="G255" s="524"/>
      <x:c r="H255" s="538" t="n"/>
      <x:c r="I255" s="524" t="str">
        <x:f>IF(A255="","",COUNTIF('7_Đơn hàng'!$G$4:$G$303,A255))</x:f>
      </x:c>
      <x:c r="J255" s="551" t="str">
        <x:f>IF(A255="","",SUMIF('7_Đơn hàng'!$G$4:$G$303,A255,'7_Đơn hàng'!$J$4:$J$303))</x:f>
      </x:c>
      <x:c r="K255" s="551" t="str">
        <x:f>IF(A255="","",SUMIF('7_Đơn hàng'!$G$4:$G$303,A255,'7_Đơn hàng'!$T$4:$T$303))</x:f>
      </x:c>
      <x:c r="L255" s="524"/>
    </x:row>
    <x:row r="256">
      <x:c r="A256" s="524"/>
      <x:c r="B256" s="524"/>
      <x:c r="C256" s="524"/>
      <x:c r="D256" s="524"/>
      <x:c r="E256" s="524"/>
      <x:c r="F256" s="524"/>
      <x:c r="G256" s="524"/>
      <x:c r="H256" s="538" t="n"/>
      <x:c r="I256" s="524" t="str">
        <x:f>IF(A256="","",COUNTIF('7_Đơn hàng'!$G$4:$G$303,A256))</x:f>
      </x:c>
      <x:c r="J256" s="551" t="str">
        <x:f>IF(A256="","",SUMIF('7_Đơn hàng'!$G$4:$G$303,A256,'7_Đơn hàng'!$J$4:$J$303))</x:f>
      </x:c>
      <x:c r="K256" s="551" t="str">
        <x:f>IF(A256="","",SUMIF('7_Đơn hàng'!$G$4:$G$303,A256,'7_Đơn hàng'!$T$4:$T$303))</x:f>
      </x:c>
      <x:c r="L256" s="524"/>
    </x:row>
    <x:row r="257">
      <x:c r="A257" s="524"/>
      <x:c r="B257" s="524"/>
      <x:c r="C257" s="524"/>
      <x:c r="D257" s="524"/>
      <x:c r="E257" s="524"/>
      <x:c r="F257" s="524"/>
      <x:c r="G257" s="524"/>
      <x:c r="H257" s="538" t="n"/>
      <x:c r="I257" s="524" t="str">
        <x:f>IF(A257="","",COUNTIF('7_Đơn hàng'!$G$4:$G$303,A257))</x:f>
      </x:c>
      <x:c r="J257" s="551" t="str">
        <x:f>IF(A257="","",SUMIF('7_Đơn hàng'!$G$4:$G$303,A257,'7_Đơn hàng'!$J$4:$J$303))</x:f>
      </x:c>
      <x:c r="K257" s="551" t="str">
        <x:f>IF(A257="","",SUMIF('7_Đơn hàng'!$G$4:$G$303,A257,'7_Đơn hàng'!$T$4:$T$303))</x:f>
      </x:c>
      <x:c r="L257" s="524"/>
    </x:row>
    <x:row r="258">
      <x:c r="A258" s="524"/>
      <x:c r="B258" s="524"/>
      <x:c r="C258" s="524"/>
      <x:c r="D258" s="524"/>
      <x:c r="E258" s="524"/>
      <x:c r="F258" s="524"/>
      <x:c r="G258" s="524"/>
      <x:c r="H258" s="538" t="n"/>
      <x:c r="I258" s="524" t="str">
        <x:f>IF(A258="","",COUNTIF('7_Đơn hàng'!$G$4:$G$303,A258))</x:f>
      </x:c>
      <x:c r="J258" s="551" t="str">
        <x:f>IF(A258="","",SUMIF('7_Đơn hàng'!$G$4:$G$303,A258,'7_Đơn hàng'!$J$4:$J$303))</x:f>
      </x:c>
      <x:c r="K258" s="551" t="str">
        <x:f>IF(A258="","",SUMIF('7_Đơn hàng'!$G$4:$G$303,A258,'7_Đơn hàng'!$T$4:$T$303))</x:f>
      </x:c>
      <x:c r="L258" s="524"/>
    </x:row>
    <x:row r="259">
      <x:c r="A259" s="524"/>
      <x:c r="B259" s="524"/>
      <x:c r="C259" s="524"/>
      <x:c r="D259" s="524"/>
      <x:c r="E259" s="524"/>
      <x:c r="F259" s="524"/>
      <x:c r="G259" s="524"/>
      <x:c r="H259" s="538" t="n"/>
      <x:c r="I259" s="524" t="str">
        <x:f>IF(A259="","",COUNTIF('7_Đơn hàng'!$G$4:$G$303,A259))</x:f>
      </x:c>
      <x:c r="J259" s="551" t="str">
        <x:f>IF(A259="","",SUMIF('7_Đơn hàng'!$G$4:$G$303,A259,'7_Đơn hàng'!$J$4:$J$303))</x:f>
      </x:c>
      <x:c r="K259" s="551" t="str">
        <x:f>IF(A259="","",SUMIF('7_Đơn hàng'!$G$4:$G$303,A259,'7_Đơn hàng'!$T$4:$T$303))</x:f>
      </x:c>
      <x:c r="L259" s="524"/>
    </x:row>
    <x:row r="260">
      <x:c r="A260" s="524"/>
      <x:c r="B260" s="524"/>
      <x:c r="C260" s="524"/>
      <x:c r="D260" s="524"/>
      <x:c r="E260" s="524"/>
      <x:c r="F260" s="524"/>
      <x:c r="G260" s="524"/>
      <x:c r="H260" s="538" t="n"/>
      <x:c r="I260" s="524" t="str">
        <x:f>IF(A260="","",COUNTIF('7_Đơn hàng'!$G$4:$G$303,A260))</x:f>
      </x:c>
      <x:c r="J260" s="551" t="str">
        <x:f>IF(A260="","",SUMIF('7_Đơn hàng'!$G$4:$G$303,A260,'7_Đơn hàng'!$J$4:$J$303))</x:f>
      </x:c>
      <x:c r="K260" s="551" t="str">
        <x:f>IF(A260="","",SUMIF('7_Đơn hàng'!$G$4:$G$303,A260,'7_Đơn hàng'!$T$4:$T$303))</x:f>
      </x:c>
      <x:c r="L260" s="524"/>
    </x:row>
    <x:row r="261">
      <x:c r="A261" s="524"/>
      <x:c r="B261" s="524"/>
      <x:c r="C261" s="524"/>
      <x:c r="D261" s="524"/>
      <x:c r="E261" s="524"/>
      <x:c r="F261" s="524"/>
      <x:c r="G261" s="524"/>
      <x:c r="H261" s="538" t="n"/>
      <x:c r="I261" s="524" t="str">
        <x:f>IF(A261="","",COUNTIF('7_Đơn hàng'!$G$4:$G$303,A261))</x:f>
      </x:c>
      <x:c r="J261" s="551" t="str">
        <x:f>IF(A261="","",SUMIF('7_Đơn hàng'!$G$4:$G$303,A261,'7_Đơn hàng'!$J$4:$J$303))</x:f>
      </x:c>
      <x:c r="K261" s="551" t="str">
        <x:f>IF(A261="","",SUMIF('7_Đơn hàng'!$G$4:$G$303,A261,'7_Đơn hàng'!$T$4:$T$303))</x:f>
      </x:c>
      <x:c r="L261" s="524"/>
    </x:row>
    <x:row r="262">
      <x:c r="A262" s="524"/>
      <x:c r="B262" s="524"/>
      <x:c r="C262" s="524"/>
      <x:c r="D262" s="524"/>
      <x:c r="E262" s="524"/>
      <x:c r="F262" s="524"/>
      <x:c r="G262" s="524"/>
      <x:c r="H262" s="538" t="n"/>
      <x:c r="I262" s="524" t="str">
        <x:f>IF(A262="","",COUNTIF('7_Đơn hàng'!$G$4:$G$303,A262))</x:f>
      </x:c>
      <x:c r="J262" s="551" t="str">
        <x:f>IF(A262="","",SUMIF('7_Đơn hàng'!$G$4:$G$303,A262,'7_Đơn hàng'!$J$4:$J$303))</x:f>
      </x:c>
      <x:c r="K262" s="551" t="str">
        <x:f>IF(A262="","",SUMIF('7_Đơn hàng'!$G$4:$G$303,A262,'7_Đơn hàng'!$T$4:$T$303))</x:f>
      </x:c>
      <x:c r="L262" s="524"/>
    </x:row>
    <x:row r="263">
      <x:c r="A263" s="524"/>
      <x:c r="B263" s="524"/>
      <x:c r="C263" s="524"/>
      <x:c r="D263" s="524"/>
      <x:c r="E263" s="524"/>
      <x:c r="F263" s="524"/>
      <x:c r="G263" s="524"/>
      <x:c r="H263" s="538" t="n"/>
      <x:c r="I263" s="524" t="str">
        <x:f>IF(A263="","",COUNTIF('7_Đơn hàng'!$G$4:$G$303,A263))</x:f>
      </x:c>
      <x:c r="J263" s="551" t="str">
        <x:f>IF(A263="","",SUMIF('7_Đơn hàng'!$G$4:$G$303,A263,'7_Đơn hàng'!$J$4:$J$303))</x:f>
      </x:c>
      <x:c r="K263" s="551" t="str">
        <x:f>IF(A263="","",SUMIF('7_Đơn hàng'!$G$4:$G$303,A263,'7_Đơn hàng'!$T$4:$T$303))</x:f>
      </x:c>
      <x:c r="L263" s="524"/>
    </x:row>
    <x:row r="264">
      <x:c r="A264" s="524"/>
      <x:c r="B264" s="524"/>
      <x:c r="C264" s="524"/>
      <x:c r="D264" s="524"/>
      <x:c r="E264" s="524"/>
      <x:c r="F264" s="524"/>
      <x:c r="G264" s="524"/>
      <x:c r="H264" s="538" t="n"/>
      <x:c r="I264" s="524" t="str">
        <x:f>IF(A264="","",COUNTIF('7_Đơn hàng'!$G$4:$G$303,A264))</x:f>
      </x:c>
      <x:c r="J264" s="551" t="str">
        <x:f>IF(A264="","",SUMIF('7_Đơn hàng'!$G$4:$G$303,A264,'7_Đơn hàng'!$J$4:$J$303))</x:f>
      </x:c>
      <x:c r="K264" s="551" t="str">
        <x:f>IF(A264="","",SUMIF('7_Đơn hàng'!$G$4:$G$303,A264,'7_Đơn hàng'!$T$4:$T$303))</x:f>
      </x:c>
      <x:c r="L264" s="524"/>
    </x:row>
    <x:row r="265">
      <x:c r="A265" s="524"/>
      <x:c r="B265" s="524"/>
      <x:c r="C265" s="524"/>
      <x:c r="D265" s="524"/>
      <x:c r="E265" s="524"/>
      <x:c r="F265" s="524"/>
      <x:c r="G265" s="524"/>
      <x:c r="H265" s="538" t="n"/>
      <x:c r="I265" s="524" t="str">
        <x:f>IF(A265="","",COUNTIF('7_Đơn hàng'!$G$4:$G$303,A265))</x:f>
      </x:c>
      <x:c r="J265" s="551" t="str">
        <x:f>IF(A265="","",SUMIF('7_Đơn hàng'!$G$4:$G$303,A265,'7_Đơn hàng'!$J$4:$J$303))</x:f>
      </x:c>
      <x:c r="K265" s="551" t="str">
        <x:f>IF(A265="","",SUMIF('7_Đơn hàng'!$G$4:$G$303,A265,'7_Đơn hàng'!$T$4:$T$303))</x:f>
      </x:c>
      <x:c r="L265" s="524"/>
    </x:row>
    <x:row r="266">
      <x:c r="A266" s="524"/>
      <x:c r="B266" s="524"/>
      <x:c r="C266" s="524"/>
      <x:c r="D266" s="524"/>
      <x:c r="E266" s="524"/>
      <x:c r="F266" s="524"/>
      <x:c r="G266" s="524"/>
      <x:c r="H266" s="538" t="n"/>
      <x:c r="I266" s="524" t="str">
        <x:f>IF(A266="","",COUNTIF('7_Đơn hàng'!$G$4:$G$303,A266))</x:f>
      </x:c>
      <x:c r="J266" s="551" t="str">
        <x:f>IF(A266="","",SUMIF('7_Đơn hàng'!$G$4:$G$303,A266,'7_Đơn hàng'!$J$4:$J$303))</x:f>
      </x:c>
      <x:c r="K266" s="551" t="str">
        <x:f>IF(A266="","",SUMIF('7_Đơn hàng'!$G$4:$G$303,A266,'7_Đơn hàng'!$T$4:$T$303))</x:f>
      </x:c>
      <x:c r="L266" s="524"/>
    </x:row>
    <x:row r="267">
      <x:c r="A267" s="524"/>
      <x:c r="B267" s="524"/>
      <x:c r="C267" s="524"/>
      <x:c r="D267" s="524"/>
      <x:c r="E267" s="524"/>
      <x:c r="F267" s="524"/>
      <x:c r="G267" s="524"/>
      <x:c r="H267" s="538" t="n"/>
      <x:c r="I267" s="524" t="str">
        <x:f>IF(A267="","",COUNTIF('7_Đơn hàng'!$G$4:$G$303,A267))</x:f>
      </x:c>
      <x:c r="J267" s="551" t="str">
        <x:f>IF(A267="","",SUMIF('7_Đơn hàng'!$G$4:$G$303,A267,'7_Đơn hàng'!$J$4:$J$303))</x:f>
      </x:c>
      <x:c r="K267" s="551" t="str">
        <x:f>IF(A267="","",SUMIF('7_Đơn hàng'!$G$4:$G$303,A267,'7_Đơn hàng'!$T$4:$T$303))</x:f>
      </x:c>
      <x:c r="L267" s="524"/>
    </x:row>
    <x:row r="268">
      <x:c r="A268" s="524"/>
      <x:c r="B268" s="524"/>
      <x:c r="C268" s="524"/>
      <x:c r="D268" s="524"/>
      <x:c r="E268" s="524"/>
      <x:c r="F268" s="524"/>
      <x:c r="G268" s="524"/>
      <x:c r="H268" s="538" t="n"/>
      <x:c r="I268" s="524" t="str">
        <x:f>IF(A268="","",COUNTIF('7_Đơn hàng'!$G$4:$G$303,A268))</x:f>
      </x:c>
      <x:c r="J268" s="551" t="str">
        <x:f>IF(A268="","",SUMIF('7_Đơn hàng'!$G$4:$G$303,A268,'7_Đơn hàng'!$J$4:$J$303))</x:f>
      </x:c>
      <x:c r="K268" s="551" t="str">
        <x:f>IF(A268="","",SUMIF('7_Đơn hàng'!$G$4:$G$303,A268,'7_Đơn hàng'!$T$4:$T$303))</x:f>
      </x:c>
      <x:c r="L268" s="524"/>
    </x:row>
    <x:row r="269">
      <x:c r="A269" s="524"/>
      <x:c r="B269" s="524"/>
      <x:c r="C269" s="524"/>
      <x:c r="D269" s="524"/>
      <x:c r="E269" s="524"/>
      <x:c r="F269" s="524"/>
      <x:c r="G269" s="524"/>
      <x:c r="H269" s="538" t="n"/>
      <x:c r="I269" s="524" t="str">
        <x:f>IF(A269="","",COUNTIF('7_Đơn hàng'!$G$4:$G$303,A269))</x:f>
      </x:c>
      <x:c r="J269" s="551" t="str">
        <x:f>IF(A269="","",SUMIF('7_Đơn hàng'!$G$4:$G$303,A269,'7_Đơn hàng'!$J$4:$J$303))</x:f>
      </x:c>
      <x:c r="K269" s="551" t="str">
        <x:f>IF(A269="","",SUMIF('7_Đơn hàng'!$G$4:$G$303,A269,'7_Đơn hàng'!$T$4:$T$303))</x:f>
      </x:c>
      <x:c r="L269" s="524"/>
    </x:row>
    <x:row r="270">
      <x:c r="A270" s="524"/>
      <x:c r="B270" s="524"/>
      <x:c r="C270" s="524"/>
      <x:c r="D270" s="524"/>
      <x:c r="E270" s="524"/>
      <x:c r="F270" s="524"/>
      <x:c r="G270" s="524"/>
      <x:c r="H270" s="538" t="n"/>
      <x:c r="I270" s="524" t="str">
        <x:f>IF(A270="","",COUNTIF('7_Đơn hàng'!$G$4:$G$303,A270))</x:f>
      </x:c>
      <x:c r="J270" s="551" t="str">
        <x:f>IF(A270="","",SUMIF('7_Đơn hàng'!$G$4:$G$303,A270,'7_Đơn hàng'!$J$4:$J$303))</x:f>
      </x:c>
      <x:c r="K270" s="551" t="str">
        <x:f>IF(A270="","",SUMIF('7_Đơn hàng'!$G$4:$G$303,A270,'7_Đơn hàng'!$T$4:$T$303))</x:f>
      </x:c>
      <x:c r="L270" s="524"/>
    </x:row>
    <x:row r="271">
      <x:c r="A271" s="524"/>
      <x:c r="B271" s="524"/>
      <x:c r="C271" s="524"/>
      <x:c r="D271" s="524"/>
      <x:c r="E271" s="524"/>
      <x:c r="F271" s="524"/>
      <x:c r="G271" s="524"/>
      <x:c r="H271" s="538" t="n"/>
      <x:c r="I271" s="524" t="str">
        <x:f>IF(A271="","",COUNTIF('7_Đơn hàng'!$G$4:$G$303,A271))</x:f>
      </x:c>
      <x:c r="J271" s="551" t="str">
        <x:f>IF(A271="","",SUMIF('7_Đơn hàng'!$G$4:$G$303,A271,'7_Đơn hàng'!$J$4:$J$303))</x:f>
      </x:c>
      <x:c r="K271" s="551" t="str">
        <x:f>IF(A271="","",SUMIF('7_Đơn hàng'!$G$4:$G$303,A271,'7_Đơn hàng'!$T$4:$T$303))</x:f>
      </x:c>
      <x:c r="L271" s="524"/>
    </x:row>
    <x:row r="272">
      <x:c r="A272" s="524"/>
      <x:c r="B272" s="524"/>
      <x:c r="C272" s="524"/>
      <x:c r="D272" s="524"/>
      <x:c r="E272" s="524"/>
      <x:c r="F272" s="524"/>
      <x:c r="G272" s="524"/>
      <x:c r="H272" s="538" t="n"/>
      <x:c r="I272" s="524" t="str">
        <x:f>IF(A272="","",COUNTIF('7_Đơn hàng'!$G$4:$G$303,A272))</x:f>
      </x:c>
      <x:c r="J272" s="551" t="str">
        <x:f>IF(A272="","",SUMIF('7_Đơn hàng'!$G$4:$G$303,A272,'7_Đơn hàng'!$J$4:$J$303))</x:f>
      </x:c>
      <x:c r="K272" s="551" t="str">
        <x:f>IF(A272="","",SUMIF('7_Đơn hàng'!$G$4:$G$303,A272,'7_Đơn hàng'!$T$4:$T$303))</x:f>
      </x:c>
      <x:c r="L272" s="524"/>
    </x:row>
    <x:row r="273">
      <x:c r="A273" s="524"/>
      <x:c r="B273" s="524"/>
      <x:c r="C273" s="524"/>
      <x:c r="D273" s="524"/>
      <x:c r="E273" s="524"/>
      <x:c r="F273" s="524"/>
      <x:c r="G273" s="524"/>
      <x:c r="H273" s="538" t="n"/>
      <x:c r="I273" s="524" t="str">
        <x:f>IF(A273="","",COUNTIF('7_Đơn hàng'!$G$4:$G$303,A273))</x:f>
      </x:c>
      <x:c r="J273" s="551" t="str">
        <x:f>IF(A273="","",SUMIF('7_Đơn hàng'!$G$4:$G$303,A273,'7_Đơn hàng'!$J$4:$J$303))</x:f>
      </x:c>
      <x:c r="K273" s="551" t="str">
        <x:f>IF(A273="","",SUMIF('7_Đơn hàng'!$G$4:$G$303,A273,'7_Đơn hàng'!$T$4:$T$303))</x:f>
      </x:c>
      <x:c r="L273" s="524"/>
    </x:row>
    <x:row r="274">
      <x:c r="A274" s="524"/>
      <x:c r="B274" s="524"/>
      <x:c r="C274" s="524"/>
      <x:c r="D274" s="524"/>
      <x:c r="E274" s="524"/>
      <x:c r="F274" s="524"/>
      <x:c r="G274" s="524"/>
      <x:c r="H274" s="538" t="n"/>
      <x:c r="I274" s="524" t="str">
        <x:f>IF(A274="","",COUNTIF('7_Đơn hàng'!$G$4:$G$303,A274))</x:f>
      </x:c>
      <x:c r="J274" s="551" t="str">
        <x:f>IF(A274="","",SUMIF('7_Đơn hàng'!$G$4:$G$303,A274,'7_Đơn hàng'!$J$4:$J$303))</x:f>
      </x:c>
      <x:c r="K274" s="551" t="str">
        <x:f>IF(A274="","",SUMIF('7_Đơn hàng'!$G$4:$G$303,A274,'7_Đơn hàng'!$T$4:$T$303))</x:f>
      </x:c>
      <x:c r="L274" s="524"/>
    </x:row>
    <x:row r="275">
      <x:c r="A275" s="524"/>
      <x:c r="B275" s="524"/>
      <x:c r="C275" s="524"/>
      <x:c r="D275" s="524"/>
      <x:c r="E275" s="524"/>
      <x:c r="F275" s="524"/>
      <x:c r="G275" s="524"/>
      <x:c r="H275" s="538" t="n"/>
      <x:c r="I275" s="524" t="str">
        <x:f>IF(A275="","",COUNTIF('7_Đơn hàng'!$G$4:$G$303,A275))</x:f>
      </x:c>
      <x:c r="J275" s="551" t="str">
        <x:f>IF(A275="","",SUMIF('7_Đơn hàng'!$G$4:$G$303,A275,'7_Đơn hàng'!$J$4:$J$303))</x:f>
      </x:c>
      <x:c r="K275" s="551" t="str">
        <x:f>IF(A275="","",SUMIF('7_Đơn hàng'!$G$4:$G$303,A275,'7_Đơn hàng'!$T$4:$T$303))</x:f>
      </x:c>
      <x:c r="L275" s="524"/>
    </x:row>
    <x:row r="276">
      <x:c r="A276" s="524"/>
      <x:c r="B276" s="524"/>
      <x:c r="C276" s="524"/>
      <x:c r="D276" s="524"/>
      <x:c r="E276" s="524"/>
      <x:c r="F276" s="524"/>
      <x:c r="G276" s="524"/>
      <x:c r="H276" s="538" t="n"/>
      <x:c r="I276" s="524" t="str">
        <x:f>IF(A276="","",COUNTIF('7_Đơn hàng'!$G$4:$G$303,A276))</x:f>
      </x:c>
      <x:c r="J276" s="551" t="str">
        <x:f>IF(A276="","",SUMIF('7_Đơn hàng'!$G$4:$G$303,A276,'7_Đơn hàng'!$J$4:$J$303))</x:f>
      </x:c>
      <x:c r="K276" s="551" t="str">
        <x:f>IF(A276="","",SUMIF('7_Đơn hàng'!$G$4:$G$303,A276,'7_Đơn hàng'!$T$4:$T$303))</x:f>
      </x:c>
      <x:c r="L276" s="524"/>
    </x:row>
    <x:row r="277">
      <x:c r="A277" s="524"/>
      <x:c r="B277" s="524"/>
      <x:c r="C277" s="524"/>
      <x:c r="D277" s="524"/>
      <x:c r="E277" s="524"/>
      <x:c r="F277" s="524"/>
      <x:c r="G277" s="524"/>
      <x:c r="H277" s="538" t="n"/>
      <x:c r="I277" s="524" t="str">
        <x:f>IF(A277="","",COUNTIF('7_Đơn hàng'!$G$4:$G$303,A277))</x:f>
      </x:c>
      <x:c r="J277" s="551" t="str">
        <x:f>IF(A277="","",SUMIF('7_Đơn hàng'!$G$4:$G$303,A277,'7_Đơn hàng'!$J$4:$J$303))</x:f>
      </x:c>
      <x:c r="K277" s="551" t="str">
        <x:f>IF(A277="","",SUMIF('7_Đơn hàng'!$G$4:$G$303,A277,'7_Đơn hàng'!$T$4:$T$303))</x:f>
      </x:c>
      <x:c r="L277" s="524"/>
    </x:row>
    <x:row r="278">
      <x:c r="A278" s="524"/>
      <x:c r="B278" s="524"/>
      <x:c r="C278" s="524"/>
      <x:c r="D278" s="524"/>
      <x:c r="E278" s="524"/>
      <x:c r="F278" s="524"/>
      <x:c r="G278" s="524"/>
      <x:c r="H278" s="538" t="n"/>
      <x:c r="I278" s="524" t="str">
        <x:f>IF(A278="","",COUNTIF('7_Đơn hàng'!$G$4:$G$303,A278))</x:f>
      </x:c>
      <x:c r="J278" s="551" t="str">
        <x:f>IF(A278="","",SUMIF('7_Đơn hàng'!$G$4:$G$303,A278,'7_Đơn hàng'!$J$4:$J$303))</x:f>
      </x:c>
      <x:c r="K278" s="551" t="str">
        <x:f>IF(A278="","",SUMIF('7_Đơn hàng'!$G$4:$G$303,A278,'7_Đơn hàng'!$T$4:$T$303))</x:f>
      </x:c>
      <x:c r="L278" s="524"/>
    </x:row>
    <x:row r="279">
      <x:c r="A279" s="524"/>
      <x:c r="B279" s="524"/>
      <x:c r="C279" s="524"/>
      <x:c r="D279" s="524"/>
      <x:c r="E279" s="524"/>
      <x:c r="F279" s="524"/>
      <x:c r="G279" s="524"/>
      <x:c r="H279" s="538" t="n"/>
      <x:c r="I279" s="524" t="str">
        <x:f>IF(A279="","",COUNTIF('7_Đơn hàng'!$G$4:$G$303,A279))</x:f>
      </x:c>
      <x:c r="J279" s="551" t="str">
        <x:f>IF(A279="","",SUMIF('7_Đơn hàng'!$G$4:$G$303,A279,'7_Đơn hàng'!$J$4:$J$303))</x:f>
      </x:c>
      <x:c r="K279" s="551" t="str">
        <x:f>IF(A279="","",SUMIF('7_Đơn hàng'!$G$4:$G$303,A279,'7_Đơn hàng'!$T$4:$T$303))</x:f>
      </x:c>
      <x:c r="L279" s="524"/>
    </x:row>
    <x:row r="280">
      <x:c r="A280" s="524"/>
      <x:c r="B280" s="524"/>
      <x:c r="C280" s="524"/>
      <x:c r="D280" s="524"/>
      <x:c r="E280" s="524"/>
      <x:c r="F280" s="524"/>
      <x:c r="G280" s="524"/>
      <x:c r="H280" s="538" t="n"/>
      <x:c r="I280" s="524" t="str">
        <x:f>IF(A280="","",COUNTIF('7_Đơn hàng'!$G$4:$G$303,A280))</x:f>
      </x:c>
      <x:c r="J280" s="551" t="str">
        <x:f>IF(A280="","",SUMIF('7_Đơn hàng'!$G$4:$G$303,A280,'7_Đơn hàng'!$J$4:$J$303))</x:f>
      </x:c>
      <x:c r="K280" s="551" t="str">
        <x:f>IF(A280="","",SUMIF('7_Đơn hàng'!$G$4:$G$303,A280,'7_Đơn hàng'!$T$4:$T$303))</x:f>
      </x:c>
      <x:c r="L280" s="524"/>
    </x:row>
    <x:row r="281">
      <x:c r="A281" s="524"/>
      <x:c r="B281" s="524"/>
      <x:c r="C281" s="524"/>
      <x:c r="D281" s="524"/>
      <x:c r="E281" s="524"/>
      <x:c r="F281" s="524"/>
      <x:c r="G281" s="524"/>
      <x:c r="H281" s="538" t="n"/>
      <x:c r="I281" s="524" t="str">
        <x:f>IF(A281="","",COUNTIF('7_Đơn hàng'!$G$4:$G$303,A281))</x:f>
      </x:c>
      <x:c r="J281" s="551" t="str">
        <x:f>IF(A281="","",SUMIF('7_Đơn hàng'!$G$4:$G$303,A281,'7_Đơn hàng'!$J$4:$J$303))</x:f>
      </x:c>
      <x:c r="K281" s="551" t="str">
        <x:f>IF(A281="","",SUMIF('7_Đơn hàng'!$G$4:$G$303,A281,'7_Đơn hàng'!$T$4:$T$303))</x:f>
      </x:c>
      <x:c r="L281" s="524"/>
    </x:row>
    <x:row r="282">
      <x:c r="A282" s="524"/>
      <x:c r="B282" s="524"/>
      <x:c r="C282" s="524"/>
      <x:c r="D282" s="524"/>
      <x:c r="E282" s="524"/>
      <x:c r="F282" s="524"/>
      <x:c r="G282" s="524"/>
      <x:c r="H282" s="538" t="n"/>
      <x:c r="I282" s="524" t="str">
        <x:f>IF(A282="","",COUNTIF('7_Đơn hàng'!$G$4:$G$303,A282))</x:f>
      </x:c>
      <x:c r="J282" s="551" t="str">
        <x:f>IF(A282="","",SUMIF('7_Đơn hàng'!$G$4:$G$303,A282,'7_Đơn hàng'!$J$4:$J$303))</x:f>
      </x:c>
      <x:c r="K282" s="551" t="str">
        <x:f>IF(A282="","",SUMIF('7_Đơn hàng'!$G$4:$G$303,A282,'7_Đơn hàng'!$T$4:$T$303))</x:f>
      </x:c>
      <x:c r="L282" s="524"/>
    </x:row>
    <x:row r="283">
      <x:c r="A283" s="524"/>
      <x:c r="B283" s="524"/>
      <x:c r="C283" s="524"/>
      <x:c r="D283" s="524"/>
      <x:c r="E283" s="524"/>
      <x:c r="F283" s="524"/>
      <x:c r="G283" s="524"/>
      <x:c r="H283" s="538" t="n"/>
      <x:c r="I283" s="524" t="str">
        <x:f>IF(A283="","",COUNTIF('7_Đơn hàng'!$G$4:$G$303,A283))</x:f>
      </x:c>
      <x:c r="J283" s="551" t="str">
        <x:f>IF(A283="","",SUMIF('7_Đơn hàng'!$G$4:$G$303,A283,'7_Đơn hàng'!$J$4:$J$303))</x:f>
      </x:c>
      <x:c r="K283" s="551" t="str">
        <x:f>IF(A283="","",SUMIF('7_Đơn hàng'!$G$4:$G$303,A283,'7_Đơn hàng'!$T$4:$T$303))</x:f>
      </x:c>
      <x:c r="L283" s="524"/>
    </x:row>
    <x:row r="284">
      <x:c r="A284" s="524"/>
      <x:c r="B284" s="524"/>
      <x:c r="C284" s="524"/>
      <x:c r="D284" s="524"/>
      <x:c r="E284" s="524"/>
      <x:c r="F284" s="524"/>
      <x:c r="G284" s="524"/>
      <x:c r="H284" s="538" t="n"/>
      <x:c r="I284" s="524" t="str">
        <x:f>IF(A284="","",COUNTIF('7_Đơn hàng'!$G$4:$G$303,A284))</x:f>
      </x:c>
      <x:c r="J284" s="551" t="str">
        <x:f>IF(A284="","",SUMIF('7_Đơn hàng'!$G$4:$G$303,A284,'7_Đơn hàng'!$J$4:$J$303))</x:f>
      </x:c>
      <x:c r="K284" s="551" t="str">
        <x:f>IF(A284="","",SUMIF('7_Đơn hàng'!$G$4:$G$303,A284,'7_Đơn hàng'!$T$4:$T$303))</x:f>
      </x:c>
      <x:c r="L284" s="524"/>
    </x:row>
    <x:row r="285">
      <x:c r="A285" s="524"/>
      <x:c r="B285" s="524"/>
      <x:c r="C285" s="524"/>
      <x:c r="D285" s="524"/>
      <x:c r="E285" s="524"/>
      <x:c r="F285" s="524"/>
      <x:c r="G285" s="524"/>
      <x:c r="H285" s="538" t="n"/>
      <x:c r="I285" s="524" t="str">
        <x:f>IF(A285="","",COUNTIF('7_Đơn hàng'!$G$4:$G$303,A285))</x:f>
      </x:c>
      <x:c r="J285" s="551" t="str">
        <x:f>IF(A285="","",SUMIF('7_Đơn hàng'!$G$4:$G$303,A285,'7_Đơn hàng'!$J$4:$J$303))</x:f>
      </x:c>
      <x:c r="K285" s="551" t="str">
        <x:f>IF(A285="","",SUMIF('7_Đơn hàng'!$G$4:$G$303,A285,'7_Đơn hàng'!$T$4:$T$303))</x:f>
      </x:c>
      <x:c r="L285" s="524"/>
    </x:row>
    <x:row r="286">
      <x:c r="A286" s="524"/>
      <x:c r="B286" s="524"/>
      <x:c r="C286" s="524"/>
      <x:c r="D286" s="524"/>
      <x:c r="E286" s="524"/>
      <x:c r="F286" s="524"/>
      <x:c r="G286" s="524"/>
      <x:c r="H286" s="538" t="n"/>
      <x:c r="I286" s="524" t="str">
        <x:f>IF(A286="","",COUNTIF('7_Đơn hàng'!$G$4:$G$303,A286))</x:f>
      </x:c>
      <x:c r="J286" s="551" t="str">
        <x:f>IF(A286="","",SUMIF('7_Đơn hàng'!$G$4:$G$303,A286,'7_Đơn hàng'!$J$4:$J$303))</x:f>
      </x:c>
      <x:c r="K286" s="551" t="str">
        <x:f>IF(A286="","",SUMIF('7_Đơn hàng'!$G$4:$G$303,A286,'7_Đơn hàng'!$T$4:$T$303))</x:f>
      </x:c>
      <x:c r="L286" s="524"/>
    </x:row>
    <x:row r="287">
      <x:c r="A287" s="524"/>
      <x:c r="B287" s="524"/>
      <x:c r="C287" s="524"/>
      <x:c r="D287" s="524"/>
      <x:c r="E287" s="524"/>
      <x:c r="F287" s="524"/>
      <x:c r="G287" s="524"/>
      <x:c r="H287" s="538" t="n"/>
      <x:c r="I287" s="524" t="str">
        <x:f>IF(A287="","",COUNTIF('7_Đơn hàng'!$G$4:$G$303,A287))</x:f>
      </x:c>
      <x:c r="J287" s="551" t="str">
        <x:f>IF(A287="","",SUMIF('7_Đơn hàng'!$G$4:$G$303,A287,'7_Đơn hàng'!$J$4:$J$303))</x:f>
      </x:c>
      <x:c r="K287" s="551" t="str">
        <x:f>IF(A287="","",SUMIF('7_Đơn hàng'!$G$4:$G$303,A287,'7_Đơn hàng'!$T$4:$T$303))</x:f>
      </x:c>
      <x:c r="L287" s="524"/>
    </x:row>
    <x:row r="288">
      <x:c r="A288" s="524"/>
      <x:c r="B288" s="524"/>
      <x:c r="C288" s="524"/>
      <x:c r="D288" s="524"/>
      <x:c r="E288" s="524"/>
      <x:c r="F288" s="524"/>
      <x:c r="G288" s="524"/>
      <x:c r="H288" s="538" t="n"/>
      <x:c r="I288" s="524" t="str">
        <x:f>IF(A288="","",COUNTIF('7_Đơn hàng'!$G$4:$G$303,A288))</x:f>
      </x:c>
      <x:c r="J288" s="551" t="str">
        <x:f>IF(A288="","",SUMIF('7_Đơn hàng'!$G$4:$G$303,A288,'7_Đơn hàng'!$J$4:$J$303))</x:f>
      </x:c>
      <x:c r="K288" s="551" t="str">
        <x:f>IF(A288="","",SUMIF('7_Đơn hàng'!$G$4:$G$303,A288,'7_Đơn hàng'!$T$4:$T$303))</x:f>
      </x:c>
      <x:c r="L288" s="524"/>
    </x:row>
    <x:row r="289">
      <x:c r="A289" s="524"/>
      <x:c r="B289" s="524"/>
      <x:c r="C289" s="524"/>
      <x:c r="D289" s="524"/>
      <x:c r="E289" s="524"/>
      <x:c r="F289" s="524"/>
      <x:c r="G289" s="524"/>
      <x:c r="H289" s="538" t="n"/>
      <x:c r="I289" s="524" t="str">
        <x:f>IF(A289="","",COUNTIF('7_Đơn hàng'!$G$4:$G$303,A289))</x:f>
      </x:c>
      <x:c r="J289" s="551" t="str">
        <x:f>IF(A289="","",SUMIF('7_Đơn hàng'!$G$4:$G$303,A289,'7_Đơn hàng'!$J$4:$J$303))</x:f>
      </x:c>
      <x:c r="K289" s="551" t="str">
        <x:f>IF(A289="","",SUMIF('7_Đơn hàng'!$G$4:$G$303,A289,'7_Đơn hàng'!$T$4:$T$303))</x:f>
      </x:c>
      <x:c r="L289" s="524"/>
    </x:row>
    <x:row r="290">
      <x:c r="A290" s="524"/>
      <x:c r="B290" s="524"/>
      <x:c r="C290" s="524"/>
      <x:c r="D290" s="524"/>
      <x:c r="E290" s="524"/>
      <x:c r="F290" s="524"/>
      <x:c r="G290" s="524"/>
      <x:c r="H290" s="538" t="n"/>
      <x:c r="I290" s="524" t="str">
        <x:f>IF(A290="","",COUNTIF('7_Đơn hàng'!$G$4:$G$303,A290))</x:f>
      </x:c>
      <x:c r="J290" s="551" t="str">
        <x:f>IF(A290="","",SUMIF('7_Đơn hàng'!$G$4:$G$303,A290,'7_Đơn hàng'!$J$4:$J$303))</x:f>
      </x:c>
      <x:c r="K290" s="551" t="str">
        <x:f>IF(A290="","",SUMIF('7_Đơn hàng'!$G$4:$G$303,A290,'7_Đơn hàng'!$T$4:$T$303))</x:f>
      </x:c>
      <x:c r="L290" s="524"/>
    </x:row>
    <x:row r="291">
      <x:c r="A291" s="524"/>
      <x:c r="B291" s="524"/>
      <x:c r="C291" s="524"/>
      <x:c r="D291" s="524"/>
      <x:c r="E291" s="524"/>
      <x:c r="F291" s="524"/>
      <x:c r="G291" s="524"/>
      <x:c r="H291" s="538" t="n"/>
      <x:c r="I291" s="524" t="str">
        <x:f>IF(A291="","",COUNTIF('7_Đơn hàng'!$G$4:$G$303,A291))</x:f>
      </x:c>
      <x:c r="J291" s="551" t="str">
        <x:f>IF(A291="","",SUMIF('7_Đơn hàng'!$G$4:$G$303,A291,'7_Đơn hàng'!$J$4:$J$303))</x:f>
      </x:c>
      <x:c r="K291" s="551" t="str">
        <x:f>IF(A291="","",SUMIF('7_Đơn hàng'!$G$4:$G$303,A291,'7_Đơn hàng'!$T$4:$T$303))</x:f>
      </x:c>
      <x:c r="L291" s="524"/>
    </x:row>
    <x:row r="292">
      <x:c r="A292" s="524"/>
      <x:c r="B292" s="524"/>
      <x:c r="C292" s="524"/>
      <x:c r="D292" s="524"/>
      <x:c r="E292" s="524"/>
      <x:c r="F292" s="524"/>
      <x:c r="G292" s="524"/>
      <x:c r="H292" s="538" t="n"/>
      <x:c r="I292" s="524" t="str">
        <x:f>IF(A292="","",COUNTIF('7_Đơn hàng'!$G$4:$G$303,A292))</x:f>
      </x:c>
      <x:c r="J292" s="551" t="str">
        <x:f>IF(A292="","",SUMIF('7_Đơn hàng'!$G$4:$G$303,A292,'7_Đơn hàng'!$J$4:$J$303))</x:f>
      </x:c>
      <x:c r="K292" s="551" t="str">
        <x:f>IF(A292="","",SUMIF('7_Đơn hàng'!$G$4:$G$303,A292,'7_Đơn hàng'!$T$4:$T$303))</x:f>
      </x:c>
      <x:c r="L292" s="524"/>
    </x:row>
    <x:row r="293">
      <x:c r="A293" s="524"/>
      <x:c r="B293" s="524"/>
      <x:c r="C293" s="524"/>
      <x:c r="D293" s="524"/>
      <x:c r="E293" s="524"/>
      <x:c r="F293" s="524"/>
      <x:c r="G293" s="524"/>
      <x:c r="H293" s="538" t="n"/>
      <x:c r="I293" s="524" t="str">
        <x:f>IF(A293="","",COUNTIF('7_Đơn hàng'!$G$4:$G$303,A293))</x:f>
      </x:c>
      <x:c r="J293" s="551" t="str">
        <x:f>IF(A293="","",SUMIF('7_Đơn hàng'!$G$4:$G$303,A293,'7_Đơn hàng'!$J$4:$J$303))</x:f>
      </x:c>
      <x:c r="K293" s="551" t="str">
        <x:f>IF(A293="","",SUMIF('7_Đơn hàng'!$G$4:$G$303,A293,'7_Đơn hàng'!$T$4:$T$303))</x:f>
      </x:c>
      <x:c r="L293" s="524"/>
    </x:row>
    <x:row r="294">
      <x:c r="A294" s="524"/>
      <x:c r="B294" s="524"/>
      <x:c r="C294" s="524"/>
      <x:c r="D294" s="524"/>
      <x:c r="E294" s="524"/>
      <x:c r="F294" s="524"/>
      <x:c r="G294" s="524"/>
      <x:c r="H294" s="538" t="n"/>
      <x:c r="I294" s="524" t="str">
        <x:f>IF(A294="","",COUNTIF('7_Đơn hàng'!$G$4:$G$303,A294))</x:f>
      </x:c>
      <x:c r="J294" s="551" t="str">
        <x:f>IF(A294="","",SUMIF('7_Đơn hàng'!$G$4:$G$303,A294,'7_Đơn hàng'!$J$4:$J$303))</x:f>
      </x:c>
      <x:c r="K294" s="551" t="str">
        <x:f>IF(A294="","",SUMIF('7_Đơn hàng'!$G$4:$G$303,A294,'7_Đơn hàng'!$T$4:$T$303))</x:f>
      </x:c>
      <x:c r="L294" s="524"/>
    </x:row>
    <x:row r="295">
      <x:c r="A295" s="524"/>
      <x:c r="B295" s="524"/>
      <x:c r="C295" s="524"/>
      <x:c r="D295" s="524"/>
      <x:c r="E295" s="524"/>
      <x:c r="F295" s="524"/>
      <x:c r="G295" s="524"/>
      <x:c r="H295" s="538" t="n"/>
      <x:c r="I295" s="524" t="str">
        <x:f>IF(A295="","",COUNTIF('7_Đơn hàng'!$G$4:$G$303,A295))</x:f>
      </x:c>
      <x:c r="J295" s="551" t="str">
        <x:f>IF(A295="","",SUMIF('7_Đơn hàng'!$G$4:$G$303,A295,'7_Đơn hàng'!$J$4:$J$303))</x:f>
      </x:c>
      <x:c r="K295" s="551" t="str">
        <x:f>IF(A295="","",SUMIF('7_Đơn hàng'!$G$4:$G$303,A295,'7_Đơn hàng'!$T$4:$T$303))</x:f>
      </x:c>
      <x:c r="L295" s="524"/>
    </x:row>
    <x:row r="296">
      <x:c r="A296" s="524"/>
      <x:c r="B296" s="524"/>
      <x:c r="C296" s="524"/>
      <x:c r="D296" s="524"/>
      <x:c r="E296" s="524"/>
      <x:c r="F296" s="524"/>
      <x:c r="G296" s="524"/>
      <x:c r="H296" s="538" t="n"/>
      <x:c r="I296" s="524" t="str">
        <x:f>IF(A296="","",COUNTIF('7_Đơn hàng'!$G$4:$G$303,A296))</x:f>
      </x:c>
      <x:c r="J296" s="551" t="str">
        <x:f>IF(A296="","",SUMIF('7_Đơn hàng'!$G$4:$G$303,A296,'7_Đơn hàng'!$J$4:$J$303))</x:f>
      </x:c>
      <x:c r="K296" s="551" t="str">
        <x:f>IF(A296="","",SUMIF('7_Đơn hàng'!$G$4:$G$303,A296,'7_Đơn hàng'!$T$4:$T$303))</x:f>
      </x:c>
      <x:c r="L296" s="524"/>
    </x:row>
    <x:row r="297">
      <x:c r="A297" s="524"/>
      <x:c r="B297" s="524"/>
      <x:c r="C297" s="524"/>
      <x:c r="D297" s="524"/>
      <x:c r="E297" s="524"/>
      <x:c r="F297" s="524"/>
      <x:c r="G297" s="524"/>
      <x:c r="H297" s="538" t="n"/>
      <x:c r="I297" s="524" t="str">
        <x:f>IF(A297="","",COUNTIF('7_Đơn hàng'!$G$4:$G$303,A297))</x:f>
      </x:c>
      <x:c r="J297" s="551" t="str">
        <x:f>IF(A297="","",SUMIF('7_Đơn hàng'!$G$4:$G$303,A297,'7_Đơn hàng'!$J$4:$J$303))</x:f>
      </x:c>
      <x:c r="K297" s="551" t="str">
        <x:f>IF(A297="","",SUMIF('7_Đơn hàng'!$G$4:$G$303,A297,'7_Đơn hàng'!$T$4:$T$303))</x:f>
      </x:c>
      <x:c r="L297" s="524"/>
    </x:row>
    <x:row r="298">
      <x:c r="A298" s="524"/>
      <x:c r="B298" s="524"/>
      <x:c r="C298" s="524"/>
      <x:c r="D298" s="524"/>
      <x:c r="E298" s="524"/>
      <x:c r="F298" s="524"/>
      <x:c r="G298" s="524"/>
      <x:c r="H298" s="538" t="n"/>
      <x:c r="I298" s="524" t="str">
        <x:f>IF(A298="","",COUNTIF('7_Đơn hàng'!$G$4:$G$303,A298))</x:f>
      </x:c>
      <x:c r="J298" s="551" t="str">
        <x:f>IF(A298="","",SUMIF('7_Đơn hàng'!$G$4:$G$303,A298,'7_Đơn hàng'!$J$4:$J$303))</x:f>
      </x:c>
      <x:c r="K298" s="551" t="str">
        <x:f>IF(A298="","",SUMIF('7_Đơn hàng'!$G$4:$G$303,A298,'7_Đơn hàng'!$T$4:$T$303))</x:f>
      </x:c>
      <x:c r="L298" s="524"/>
    </x:row>
    <x:row r="299">
      <x:c r="A299" s="524"/>
      <x:c r="B299" s="524"/>
      <x:c r="C299" s="524"/>
      <x:c r="D299" s="524"/>
      <x:c r="E299" s="524"/>
      <x:c r="F299" s="524"/>
      <x:c r="G299" s="524"/>
      <x:c r="H299" s="538" t="n"/>
      <x:c r="I299" s="524" t="str">
        <x:f>IF(A299="","",COUNTIF('7_Đơn hàng'!$G$4:$G$303,A299))</x:f>
      </x:c>
      <x:c r="J299" s="551" t="str">
        <x:f>IF(A299="","",SUMIF('7_Đơn hàng'!$G$4:$G$303,A299,'7_Đơn hàng'!$J$4:$J$303))</x:f>
      </x:c>
      <x:c r="K299" s="551" t="str">
        <x:f>IF(A299="","",SUMIF('7_Đơn hàng'!$G$4:$G$303,A299,'7_Đơn hàng'!$T$4:$T$303))</x:f>
      </x:c>
      <x:c r="L299" s="524"/>
    </x:row>
    <x:row r="300">
      <x:c r="A300" s="524"/>
      <x:c r="B300" s="524"/>
      <x:c r="C300" s="524"/>
      <x:c r="D300" s="524"/>
      <x:c r="E300" s="524"/>
      <x:c r="F300" s="524"/>
      <x:c r="G300" s="524"/>
      <x:c r="H300" s="538" t="n"/>
      <x:c r="I300" s="524" t="str">
        <x:f>IF(A300="","",COUNTIF('7_Đơn hàng'!$G$4:$G$303,A300))</x:f>
      </x:c>
      <x:c r="J300" s="551" t="str">
        <x:f>IF(A300="","",SUMIF('7_Đơn hàng'!$G$4:$G$303,A300,'7_Đơn hàng'!$J$4:$J$303))</x:f>
      </x:c>
      <x:c r="K300" s="551" t="str">
        <x:f>IF(A300="","",SUMIF('7_Đơn hàng'!$G$4:$G$303,A300,'7_Đơn hàng'!$T$4:$T$303))</x:f>
      </x:c>
      <x:c r="L300" s="524"/>
    </x:row>
    <x:row r="301">
      <x:c r="A301" s="524"/>
      <x:c r="B301" s="524"/>
      <x:c r="C301" s="524"/>
      <x:c r="D301" s="524"/>
      <x:c r="E301" s="524"/>
      <x:c r="F301" s="524"/>
      <x:c r="G301" s="524"/>
      <x:c r="H301" s="538" t="n"/>
      <x:c r="I301" s="524" t="str">
        <x:f>IF(A301="","",COUNTIF('7_Đơn hàng'!$G$4:$G$303,A301))</x:f>
      </x:c>
      <x:c r="J301" s="551" t="str">
        <x:f>IF(A301="","",SUMIF('7_Đơn hàng'!$G$4:$G$303,A301,'7_Đơn hàng'!$J$4:$J$303))</x:f>
      </x:c>
      <x:c r="K301" s="551" t="str">
        <x:f>IF(A301="","",SUMIF('7_Đơn hàng'!$G$4:$G$303,A301,'7_Đơn hàng'!$T$4:$T$303))</x:f>
      </x:c>
      <x:c r="L301" s="524"/>
    </x:row>
    <x:row r="302">
      <x:c r="A302" s="524"/>
      <x:c r="B302" s="524"/>
      <x:c r="C302" s="524"/>
      <x:c r="D302" s="524"/>
      <x:c r="E302" s="524"/>
      <x:c r="F302" s="524"/>
      <x:c r="G302" s="524"/>
      <x:c r="H302" s="538" t="n"/>
      <x:c r="I302" s="524" t="str">
        <x:f>IF(A302="","",COUNTIF('7_Đơn hàng'!$G$4:$G$303,A302))</x:f>
      </x:c>
      <x:c r="J302" s="551" t="str">
        <x:f>IF(A302="","",SUMIF('7_Đơn hàng'!$G$4:$G$303,A302,'7_Đơn hàng'!$J$4:$J$303))</x:f>
      </x:c>
      <x:c r="K302" s="551" t="str">
        <x:f>IF(A302="","",SUMIF('7_Đơn hàng'!$G$4:$G$303,A302,'7_Đơn hàng'!$T$4:$T$303))</x:f>
      </x:c>
      <x:c r="L302" s="524"/>
    </x:row>
    <x:row r="303">
      <x:c r="A303" s="524"/>
      <x:c r="B303" s="524"/>
      <x:c r="C303" s="524"/>
      <x:c r="D303" s="524"/>
      <x:c r="E303" s="524"/>
      <x:c r="F303" s="524"/>
      <x:c r="G303" s="524"/>
      <x:c r="H303" s="538" t="n"/>
      <x:c r="I303" s="524" t="str">
        <x:f>IF(A303="","",COUNTIF('7_Đơn hàng'!$G$4:$G$303,A303))</x:f>
      </x:c>
      <x:c r="J303" s="551" t="str">
        <x:f>IF(A303="","",SUMIF('7_Đơn hàng'!$G$4:$G$303,A303,'7_Đơn hàng'!$J$4:$J$303))</x:f>
      </x:c>
      <x:c r="K303" s="551" t="str">
        <x:f>IF(A303="","",SUMIF('7_Đơn hàng'!$G$4:$G$303,A303,'7_Đơn hàng'!$T$4:$T$303))</x:f>
      </x:c>
      <x:c r="L303" s="524"/>
    </x:row>
  </x:sheetData>
  <x:mergeCells>
    <x:mergeCell ref="A1:L1"/>
  </x:mergeCells>
  <x:dataValidations count="1">
    <x:dataValidation type="list" allowBlank="0" showDropDown="0" showInputMessage="0" showErrorMessage="0" sqref="G4:G303">
      <x:formula1>"TikTok Shop,Shopee,Lazada,Facebook,Zalo,Website,Khách quen,Khác"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ec055f2e78417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.6299991607666" style="14" customWidth="1"/>
    <x:col min="2" max="2" width="10.130000114440918" style="14" customWidth="1"/>
    <x:col min="3" max="3" width="17.25" style="14" customWidth="1"/>
    <x:col min="4" max="4" width="13.5" style="14" customWidth="1"/>
    <x:col min="5" max="5" width="10" style="14" customWidth="1"/>
    <x:col min="6" max="6" width="16.5" style="14" customWidth="1"/>
    <x:col min="7" max="7" width="13.25" style="14" customWidth="1"/>
    <x:col min="8" max="8" width="40" style="14" customWidth="1"/>
    <x:col min="9" max="9" width="19.6299991607666" style="14" customWidth="1"/>
    <x:col min="10" max="10" width="30" style="14" customWidth="1"/>
  </x:cols>
  <x:sheetData>
    <x:row r="1" s="14" customFormat="1" ht="28" customHeight="1">
      <x:c r="A1" s="548" t="inlineStr">
        <x:is>
          <x:t xml:space="preserve">SỔ ĐẦU TƯ: MÁY IN • ĐẦU IN • NHỰA • PHỤ KIỆN</x:t>
        </x:is>
      </x:c>
      <x:c r="B1" s="524" t="n"/>
      <x:c r="C1" s="524" t="n"/>
      <x:c r="D1" s="524" t="n"/>
      <x:c r="E1" s="524" t="n"/>
      <x:c r="F1" s="524" t="n"/>
      <x:c r="G1" s="524" t="n"/>
      <x:c r="H1" s="524" t="n"/>
      <x:c r="I1" s="524" t="n"/>
      <x:c r="J1" s="524" t="n"/>
    </x:row>
    <x:row r="2">
      <x:c r="A2" s="524"/>
      <x:c r="B2" s="524"/>
      <x:c r="C2" s="524"/>
      <x:c r="D2" s="524"/>
      <x:c r="E2" s="524"/>
      <x:c r="F2" s="524"/>
      <x:c r="G2" s="524"/>
      <x:c r="H2" s="524"/>
      <x:c r="I2" s="524"/>
      <x:c r="J2" s="524"/>
    </x:row>
    <x:row r="3" s="14" customFormat="1" ht="32" customHeight="1">
      <x:c r="A3" s="547" t="inlineStr">
        <x:is>
          <x:t xml:space="preserve">Ngày mua/đầu tư</x:t>
        </x:is>
      </x:c>
      <x:c r="B3" s="547" t="inlineStr">
        <x:is>
          <x:t xml:space="preserve">Phân loại</x:t>
        </x:is>
      </x:c>
      <x:c r="C3" s="547" t="inlineStr">
        <x:is>
          <x:t xml:space="preserve">Tài sản / hạng mục</x:t>
        </x:is>
      </x:c>
      <x:c r="D3" s="547" t="inlineStr">
        <x:is>
          <x:t xml:space="preserve">Hãng / Model</x:t>
        </x:is>
      </x:c>
      <x:c r="E3" s="547" t="inlineStr">
        <x:is>
          <x:t xml:space="preserve">Số lượng</x:t>
        </x:is>
      </x:c>
      <x:c r="F3" s="547" t="inlineStr">
        <x:is>
          <x:t xml:space="preserve">Số tiền đầu tư (đ)</x:t>
        </x:is>
      </x:c>
      <x:c r="G3" s="547" t="inlineStr">
        <x:is>
          <x:t xml:space="preserve">Nhà cung cấp</x:t>
        </x:is>
      </x:c>
      <x:c r="H3" s="547" t="inlineStr">
        <x:is>
          <x:t xml:space="preserve">Link hóa đơn/Drive</x:t>
        </x:is>
      </x:c>
      <x:c r="I3" s="547" t="inlineStr">
        <x:is>
          <x:t xml:space="preserve">Tuổi khấu hao (tháng)</x:t>
        </x:is>
      </x:c>
      <x:c r="J3" s="547" t="inlineStr">
        <x:is>
          <x:t xml:space="preserve">Ghi chú</x:t>
        </x:is>
      </x:c>
    </x:row>
    <x:row r="4">
      <x:c r="A4" s="538" t="n"/>
      <x:c r="B4" s="524"/>
      <x:c r="C4" s="524"/>
      <x:c r="D4" s="524"/>
      <x:c r="E4" s="524"/>
      <x:c r="F4" s="551" t="n"/>
      <x:c r="G4" s="524"/>
      <x:c r="H4" s="524"/>
      <x:c r="I4" s="524"/>
      <x:c r="J4" s="524"/>
    </x:row>
    <x:row r="5">
      <x:c r="A5" s="538" t="n"/>
      <x:c r="B5" s="524"/>
      <x:c r="C5" s="524"/>
      <x:c r="D5" s="524"/>
      <x:c r="E5" s="524"/>
      <x:c r="F5" s="551" t="n"/>
      <x:c r="G5" s="524"/>
      <x:c r="H5" s="524"/>
      <x:c r="I5" s="524"/>
      <x:c r="J5" s="524"/>
    </x:row>
    <x:row r="6">
      <x:c r="A6" s="538" t="n"/>
      <x:c r="B6" s="524"/>
      <x:c r="C6" s="524"/>
      <x:c r="D6" s="524"/>
      <x:c r="E6" s="524"/>
      <x:c r="F6" s="551" t="n"/>
      <x:c r="G6" s="524"/>
      <x:c r="H6" s="524"/>
      <x:c r="I6" s="524"/>
      <x:c r="J6" s="524"/>
    </x:row>
    <x:row r="7">
      <x:c r="A7" s="538" t="n"/>
      <x:c r="B7" s="524"/>
      <x:c r="C7" s="524"/>
      <x:c r="D7" s="524"/>
      <x:c r="E7" s="524"/>
      <x:c r="F7" s="551" t="n"/>
      <x:c r="G7" s="524"/>
      <x:c r="H7" s="524"/>
      <x:c r="I7" s="524"/>
      <x:c r="J7" s="524"/>
    </x:row>
    <x:row r="8">
      <x:c r="A8" s="538" t="n"/>
      <x:c r="B8" s="524"/>
      <x:c r="C8" s="524"/>
      <x:c r="D8" s="524"/>
      <x:c r="E8" s="524"/>
      <x:c r="F8" s="551" t="n"/>
      <x:c r="G8" s="524"/>
      <x:c r="H8" s="524"/>
      <x:c r="I8" s="524"/>
      <x:c r="J8" s="524"/>
    </x:row>
    <x:row r="9">
      <x:c r="A9" s="538" t="n"/>
      <x:c r="B9" s="524"/>
      <x:c r="C9" s="524"/>
      <x:c r="D9" s="524"/>
      <x:c r="E9" s="524"/>
      <x:c r="F9" s="551" t="n"/>
      <x:c r="G9" s="524"/>
      <x:c r="H9" s="524"/>
      <x:c r="I9" s="524"/>
      <x:c r="J9" s="524"/>
    </x:row>
    <x:row r="10">
      <x:c r="A10" s="538" t="n"/>
      <x:c r="B10" s="524"/>
      <x:c r="C10" s="524"/>
      <x:c r="D10" s="524"/>
      <x:c r="E10" s="524"/>
      <x:c r="F10" s="551" t="n"/>
      <x:c r="G10" s="524"/>
      <x:c r="H10" s="524"/>
      <x:c r="I10" s="524"/>
      <x:c r="J10" s="524"/>
    </x:row>
    <x:row r="11">
      <x:c r="A11" s="538" t="n"/>
      <x:c r="B11" s="524"/>
      <x:c r="C11" s="524"/>
      <x:c r="D11" s="524"/>
      <x:c r="E11" s="524"/>
      <x:c r="F11" s="551" t="n"/>
      <x:c r="G11" s="524"/>
      <x:c r="H11" s="524"/>
      <x:c r="I11" s="524"/>
      <x:c r="J11" s="524"/>
    </x:row>
    <x:row r="12">
      <x:c r="A12" s="538" t="n"/>
      <x:c r="B12" s="524"/>
      <x:c r="C12" s="524"/>
      <x:c r="D12" s="524"/>
      <x:c r="E12" s="524"/>
      <x:c r="F12" s="551" t="n"/>
      <x:c r="G12" s="524"/>
      <x:c r="H12" s="524"/>
      <x:c r="I12" s="524"/>
      <x:c r="J12" s="524"/>
    </x:row>
    <x:row r="13">
      <x:c r="A13" s="538" t="n"/>
      <x:c r="B13" s="524"/>
      <x:c r="C13" s="524"/>
      <x:c r="D13" s="524"/>
      <x:c r="E13" s="524"/>
      <x:c r="F13" s="551" t="n"/>
      <x:c r="G13" s="524"/>
      <x:c r="H13" s="524"/>
      <x:c r="I13" s="524"/>
      <x:c r="J13" s="524"/>
    </x:row>
    <x:row r="14">
      <x:c r="A14" s="538" t="n"/>
      <x:c r="B14" s="524"/>
      <x:c r="C14" s="524"/>
      <x:c r="D14" s="524"/>
      <x:c r="E14" s="524"/>
      <x:c r="F14" s="551" t="n"/>
      <x:c r="G14" s="524"/>
      <x:c r="H14" s="524"/>
      <x:c r="I14" s="524"/>
      <x:c r="J14" s="524"/>
    </x:row>
    <x:row r="15">
      <x:c r="A15" s="538" t="n"/>
      <x:c r="B15" s="524"/>
      <x:c r="C15" s="524"/>
      <x:c r="D15" s="524"/>
      <x:c r="E15" s="524"/>
      <x:c r="F15" s="551" t="n"/>
      <x:c r="G15" s="524"/>
      <x:c r="H15" s="524"/>
      <x:c r="I15" s="524"/>
      <x:c r="J15" s="524"/>
    </x:row>
    <x:row r="16">
      <x:c r="A16" s="538" t="n"/>
      <x:c r="B16" s="524"/>
      <x:c r="C16" s="524"/>
      <x:c r="D16" s="524"/>
      <x:c r="E16" s="524"/>
      <x:c r="F16" s="551" t="n"/>
      <x:c r="G16" s="524"/>
      <x:c r="H16" s="524"/>
      <x:c r="I16" s="524"/>
      <x:c r="J16" s="524"/>
    </x:row>
    <x:row r="17">
      <x:c r="A17" s="538" t="n"/>
      <x:c r="B17" s="524"/>
      <x:c r="C17" s="524"/>
      <x:c r="D17" s="524"/>
      <x:c r="E17" s="524"/>
      <x:c r="F17" s="551" t="n"/>
      <x:c r="G17" s="524"/>
      <x:c r="H17" s="524"/>
      <x:c r="I17" s="524"/>
      <x:c r="J17" s="524"/>
    </x:row>
    <x:row r="18">
      <x:c r="A18" s="538" t="n"/>
      <x:c r="B18" s="524"/>
      <x:c r="C18" s="524"/>
      <x:c r="D18" s="524"/>
      <x:c r="E18" s="524"/>
      <x:c r="F18" s="551" t="n"/>
      <x:c r="G18" s="524"/>
      <x:c r="H18" s="524"/>
      <x:c r="I18" s="524"/>
      <x:c r="J18" s="524"/>
    </x:row>
    <x:row r="19">
      <x:c r="A19" s="538" t="n"/>
      <x:c r="B19" s="524"/>
      <x:c r="C19" s="524"/>
      <x:c r="D19" s="524"/>
      <x:c r="E19" s="524"/>
      <x:c r="F19" s="551" t="n"/>
      <x:c r="G19" s="524"/>
      <x:c r="H19" s="524"/>
      <x:c r="I19" s="524"/>
      <x:c r="J19" s="524"/>
    </x:row>
    <x:row r="20">
      <x:c r="A20" s="538" t="n"/>
      <x:c r="B20" s="524"/>
      <x:c r="C20" s="524"/>
      <x:c r="D20" s="524"/>
      <x:c r="E20" s="524"/>
      <x:c r="F20" s="551" t="n"/>
      <x:c r="G20" s="524"/>
      <x:c r="H20" s="524"/>
      <x:c r="I20" s="524"/>
      <x:c r="J20" s="524"/>
    </x:row>
    <x:row r="21">
      <x:c r="A21" s="538" t="n"/>
      <x:c r="B21" s="524"/>
      <x:c r="C21" s="524"/>
      <x:c r="D21" s="524"/>
      <x:c r="E21" s="524"/>
      <x:c r="F21" s="551" t="n"/>
      <x:c r="G21" s="524"/>
      <x:c r="H21" s="524"/>
      <x:c r="I21" s="524"/>
      <x:c r="J21" s="524"/>
    </x:row>
    <x:row r="22">
      <x:c r="A22" s="538" t="n"/>
      <x:c r="B22" s="524"/>
      <x:c r="C22" s="524"/>
      <x:c r="D22" s="524"/>
      <x:c r="E22" s="524"/>
      <x:c r="F22" s="551" t="n"/>
      <x:c r="G22" s="524"/>
      <x:c r="H22" s="524"/>
      <x:c r="I22" s="524"/>
      <x:c r="J22" s="524"/>
    </x:row>
    <x:row r="23">
      <x:c r="A23" s="538" t="n"/>
      <x:c r="B23" s="524"/>
      <x:c r="C23" s="524"/>
      <x:c r="D23" s="524"/>
      <x:c r="E23" s="524"/>
      <x:c r="F23" s="551" t="n"/>
      <x:c r="G23" s="524"/>
      <x:c r="H23" s="524"/>
      <x:c r="I23" s="524"/>
      <x:c r="J23" s="524"/>
    </x:row>
    <x:row r="24">
      <x:c r="A24" s="538" t="n"/>
      <x:c r="B24" s="524"/>
      <x:c r="C24" s="524"/>
      <x:c r="D24" s="524"/>
      <x:c r="E24" s="524"/>
      <x:c r="F24" s="551" t="n"/>
      <x:c r="G24" s="524"/>
      <x:c r="H24" s="524"/>
      <x:c r="I24" s="524"/>
      <x:c r="J24" s="524"/>
    </x:row>
    <x:row r="25">
      <x:c r="A25" s="538" t="n"/>
      <x:c r="B25" s="524"/>
      <x:c r="C25" s="524"/>
      <x:c r="D25" s="524"/>
      <x:c r="E25" s="524"/>
      <x:c r="F25" s="551" t="n"/>
      <x:c r="G25" s="524"/>
      <x:c r="H25" s="524"/>
      <x:c r="I25" s="524"/>
      <x:c r="J25" s="524"/>
    </x:row>
    <x:row r="26">
      <x:c r="A26" s="538" t="n"/>
      <x:c r="B26" s="524"/>
      <x:c r="C26" s="524"/>
      <x:c r="D26" s="524"/>
      <x:c r="E26" s="524"/>
      <x:c r="F26" s="551" t="n"/>
      <x:c r="G26" s="524"/>
      <x:c r="H26" s="524"/>
      <x:c r="I26" s="524"/>
      <x:c r="J26" s="524"/>
    </x:row>
    <x:row r="27">
      <x:c r="A27" s="538" t="n"/>
      <x:c r="B27" s="524"/>
      <x:c r="C27" s="524"/>
      <x:c r="D27" s="524"/>
      <x:c r="E27" s="524"/>
      <x:c r="F27" s="551" t="n"/>
      <x:c r="G27" s="524"/>
      <x:c r="H27" s="524"/>
      <x:c r="I27" s="524"/>
      <x:c r="J27" s="524"/>
    </x:row>
    <x:row r="28">
      <x:c r="A28" s="538" t="n"/>
      <x:c r="B28" s="524"/>
      <x:c r="C28" s="524"/>
      <x:c r="D28" s="524"/>
      <x:c r="E28" s="524"/>
      <x:c r="F28" s="551" t="n"/>
      <x:c r="G28" s="524"/>
      <x:c r="H28" s="524"/>
      <x:c r="I28" s="524"/>
      <x:c r="J28" s="524"/>
    </x:row>
    <x:row r="29">
      <x:c r="A29" s="538" t="n"/>
      <x:c r="B29" s="524"/>
      <x:c r="C29" s="524"/>
      <x:c r="D29" s="524"/>
      <x:c r="E29" s="524"/>
      <x:c r="F29" s="551" t="n"/>
      <x:c r="G29" s="524"/>
      <x:c r="H29" s="524"/>
      <x:c r="I29" s="524"/>
      <x:c r="J29" s="524"/>
    </x:row>
    <x:row r="30">
      <x:c r="A30" s="538" t="n"/>
      <x:c r="B30" s="524"/>
      <x:c r="C30" s="524"/>
      <x:c r="D30" s="524"/>
      <x:c r="E30" s="524"/>
      <x:c r="F30" s="551" t="n"/>
      <x:c r="G30" s="524"/>
      <x:c r="H30" s="524"/>
      <x:c r="I30" s="524"/>
      <x:c r="J30" s="524"/>
    </x:row>
    <x:row r="31">
      <x:c r="A31" s="538" t="n"/>
      <x:c r="B31" s="524"/>
      <x:c r="C31" s="524"/>
      <x:c r="D31" s="524"/>
      <x:c r="E31" s="524"/>
      <x:c r="F31" s="551" t="n"/>
      <x:c r="G31" s="524"/>
      <x:c r="H31" s="524"/>
      <x:c r="I31" s="524"/>
      <x:c r="J31" s="524"/>
    </x:row>
    <x:row r="32">
      <x:c r="A32" s="538" t="n"/>
      <x:c r="B32" s="524"/>
      <x:c r="C32" s="524"/>
      <x:c r="D32" s="524"/>
      <x:c r="E32" s="524"/>
      <x:c r="F32" s="551" t="n"/>
      <x:c r="G32" s="524"/>
      <x:c r="H32" s="524"/>
      <x:c r="I32" s="524"/>
      <x:c r="J32" s="524"/>
    </x:row>
    <x:row r="33">
      <x:c r="A33" s="538" t="n"/>
      <x:c r="B33" s="524"/>
      <x:c r="C33" s="524"/>
      <x:c r="D33" s="524"/>
      <x:c r="E33" s="524"/>
      <x:c r="F33" s="551" t="n"/>
      <x:c r="G33" s="524"/>
      <x:c r="H33" s="524"/>
      <x:c r="I33" s="524"/>
      <x:c r="J33" s="524"/>
    </x:row>
    <x:row r="34">
      <x:c r="A34" s="538" t="n"/>
      <x:c r="B34" s="524"/>
      <x:c r="C34" s="524"/>
      <x:c r="D34" s="524"/>
      <x:c r="E34" s="524"/>
      <x:c r="F34" s="551" t="n"/>
      <x:c r="G34" s="524"/>
      <x:c r="H34" s="524"/>
      <x:c r="I34" s="524"/>
      <x:c r="J34" s="524"/>
    </x:row>
    <x:row r="35">
      <x:c r="A35" s="538" t="n"/>
      <x:c r="B35" s="524"/>
      <x:c r="C35" s="524"/>
      <x:c r="D35" s="524"/>
      <x:c r="E35" s="524"/>
      <x:c r="F35" s="551" t="n"/>
      <x:c r="G35" s="524"/>
      <x:c r="H35" s="524"/>
      <x:c r="I35" s="524"/>
      <x:c r="J35" s="524"/>
    </x:row>
    <x:row r="36">
      <x:c r="A36" s="538" t="n"/>
      <x:c r="B36" s="524"/>
      <x:c r="C36" s="524"/>
      <x:c r="D36" s="524"/>
      <x:c r="E36" s="524"/>
      <x:c r="F36" s="551" t="n"/>
      <x:c r="G36" s="524"/>
      <x:c r="H36" s="524"/>
      <x:c r="I36" s="524"/>
      <x:c r="J36" s="524"/>
    </x:row>
    <x:row r="37">
      <x:c r="A37" s="538" t="n"/>
      <x:c r="B37" s="524"/>
      <x:c r="C37" s="524"/>
      <x:c r="D37" s="524"/>
      <x:c r="E37" s="524"/>
      <x:c r="F37" s="551" t="n"/>
      <x:c r="G37" s="524"/>
      <x:c r="H37" s="524"/>
      <x:c r="I37" s="524"/>
      <x:c r="J37" s="524"/>
    </x:row>
    <x:row r="38">
      <x:c r="A38" s="538" t="n"/>
      <x:c r="B38" s="524"/>
      <x:c r="C38" s="524"/>
      <x:c r="D38" s="524"/>
      <x:c r="E38" s="524"/>
      <x:c r="F38" s="551" t="n"/>
      <x:c r="G38" s="524"/>
      <x:c r="H38" s="524"/>
      <x:c r="I38" s="524"/>
      <x:c r="J38" s="524"/>
    </x:row>
    <x:row r="39">
      <x:c r="A39" s="538" t="n"/>
      <x:c r="B39" s="524"/>
      <x:c r="C39" s="524"/>
      <x:c r="D39" s="524"/>
      <x:c r="E39" s="524"/>
      <x:c r="F39" s="551" t="n"/>
      <x:c r="G39" s="524"/>
      <x:c r="H39" s="524"/>
      <x:c r="I39" s="524"/>
      <x:c r="J39" s="524"/>
    </x:row>
    <x:row r="40">
      <x:c r="A40" s="538" t="n"/>
      <x:c r="B40" s="524"/>
      <x:c r="C40" s="524"/>
      <x:c r="D40" s="524"/>
      <x:c r="E40" s="524"/>
      <x:c r="F40" s="551" t="n"/>
      <x:c r="G40" s="524"/>
      <x:c r="H40" s="524"/>
      <x:c r="I40" s="524"/>
      <x:c r="J40" s="524"/>
    </x:row>
    <x:row r="41">
      <x:c r="A41" s="538" t="n"/>
      <x:c r="B41" s="524"/>
      <x:c r="C41" s="524"/>
      <x:c r="D41" s="524"/>
      <x:c r="E41" s="524"/>
      <x:c r="F41" s="551" t="n"/>
      <x:c r="G41" s="524"/>
      <x:c r="H41" s="524"/>
      <x:c r="I41" s="524"/>
      <x:c r="J41" s="524"/>
    </x:row>
    <x:row r="42">
      <x:c r="A42" s="538" t="n"/>
      <x:c r="B42" s="524"/>
      <x:c r="C42" s="524"/>
      <x:c r="D42" s="524"/>
      <x:c r="E42" s="524"/>
      <x:c r="F42" s="551" t="n"/>
      <x:c r="G42" s="524"/>
      <x:c r="H42" s="524"/>
      <x:c r="I42" s="524"/>
      <x:c r="J42" s="524"/>
    </x:row>
    <x:row r="43">
      <x:c r="A43" s="538" t="n"/>
      <x:c r="B43" s="524"/>
      <x:c r="C43" s="524"/>
      <x:c r="D43" s="524"/>
      <x:c r="E43" s="524"/>
      <x:c r="F43" s="551" t="n"/>
      <x:c r="G43" s="524"/>
      <x:c r="H43" s="524"/>
      <x:c r="I43" s="524"/>
      <x:c r="J43" s="524"/>
    </x:row>
    <x:row r="44">
      <x:c r="A44" s="538" t="n"/>
      <x:c r="B44" s="524"/>
      <x:c r="C44" s="524"/>
      <x:c r="D44" s="524"/>
      <x:c r="E44" s="524"/>
      <x:c r="F44" s="551" t="n"/>
      <x:c r="G44" s="524"/>
      <x:c r="H44" s="524"/>
      <x:c r="I44" s="524"/>
      <x:c r="J44" s="524"/>
    </x:row>
    <x:row r="45">
      <x:c r="A45" s="538" t="n"/>
      <x:c r="B45" s="524"/>
      <x:c r="C45" s="524"/>
      <x:c r="D45" s="524"/>
      <x:c r="E45" s="524"/>
      <x:c r="F45" s="551" t="n"/>
      <x:c r="G45" s="524"/>
      <x:c r="H45" s="524"/>
      <x:c r="I45" s="524"/>
      <x:c r="J45" s="524"/>
    </x:row>
    <x:row r="46">
      <x:c r="A46" s="538" t="n"/>
      <x:c r="B46" s="524"/>
      <x:c r="C46" s="524"/>
      <x:c r="D46" s="524"/>
      <x:c r="E46" s="524"/>
      <x:c r="F46" s="551" t="n"/>
      <x:c r="G46" s="524"/>
      <x:c r="H46" s="524"/>
      <x:c r="I46" s="524"/>
      <x:c r="J46" s="524"/>
    </x:row>
    <x:row r="47">
      <x:c r="A47" s="538" t="n"/>
      <x:c r="B47" s="524"/>
      <x:c r="C47" s="524"/>
      <x:c r="D47" s="524"/>
      <x:c r="E47" s="524"/>
      <x:c r="F47" s="551" t="n"/>
      <x:c r="G47" s="524"/>
      <x:c r="H47" s="524"/>
      <x:c r="I47" s="524"/>
      <x:c r="J47" s="524"/>
    </x:row>
    <x:row r="48">
      <x:c r="A48" s="538" t="n"/>
      <x:c r="B48" s="524"/>
      <x:c r="C48" s="524"/>
      <x:c r="D48" s="524"/>
      <x:c r="E48" s="524"/>
      <x:c r="F48" s="551" t="n"/>
      <x:c r="G48" s="524"/>
      <x:c r="H48" s="524"/>
      <x:c r="I48" s="524"/>
      <x:c r="J48" s="524"/>
    </x:row>
    <x:row r="49">
      <x:c r="A49" s="538" t="n"/>
      <x:c r="B49" s="524"/>
      <x:c r="C49" s="524"/>
      <x:c r="D49" s="524"/>
      <x:c r="E49" s="524"/>
      <x:c r="F49" s="551" t="n"/>
      <x:c r="G49" s="524"/>
      <x:c r="H49" s="524"/>
      <x:c r="I49" s="524"/>
      <x:c r="J49" s="524"/>
    </x:row>
    <x:row r="50">
      <x:c r="A50" s="538" t="n"/>
      <x:c r="B50" s="524"/>
      <x:c r="C50" s="524"/>
      <x:c r="D50" s="524"/>
      <x:c r="E50" s="524"/>
      <x:c r="F50" s="551" t="n"/>
      <x:c r="G50" s="524"/>
      <x:c r="H50" s="524"/>
      <x:c r="I50" s="524"/>
      <x:c r="J50" s="524"/>
    </x:row>
    <x:row r="51">
      <x:c r="A51" s="538" t="n"/>
      <x:c r="B51" s="524"/>
      <x:c r="C51" s="524"/>
      <x:c r="D51" s="524"/>
      <x:c r="E51" s="524"/>
      <x:c r="F51" s="551" t="n"/>
      <x:c r="G51" s="524"/>
      <x:c r="H51" s="524"/>
      <x:c r="I51" s="524"/>
      <x:c r="J51" s="524"/>
    </x:row>
    <x:row r="52">
      <x:c r="A52" s="538" t="n"/>
      <x:c r="B52" s="524"/>
      <x:c r="C52" s="524"/>
      <x:c r="D52" s="524"/>
      <x:c r="E52" s="524"/>
      <x:c r="F52" s="551" t="n"/>
      <x:c r="G52" s="524"/>
      <x:c r="H52" s="524"/>
      <x:c r="I52" s="524"/>
      <x:c r="J52" s="524"/>
    </x:row>
    <x:row r="53">
      <x:c r="A53" s="538" t="n"/>
      <x:c r="B53" s="524"/>
      <x:c r="C53" s="524"/>
      <x:c r="D53" s="524"/>
      <x:c r="E53" s="524"/>
      <x:c r="F53" s="551" t="n"/>
      <x:c r="G53" s="524"/>
      <x:c r="H53" s="524"/>
      <x:c r="I53" s="524"/>
      <x:c r="J53" s="524"/>
    </x:row>
    <x:row r="54">
      <x:c r="A54" s="538" t="n"/>
      <x:c r="B54" s="524"/>
      <x:c r="C54" s="524"/>
      <x:c r="D54" s="524"/>
      <x:c r="E54" s="524"/>
      <x:c r="F54" s="551" t="n"/>
      <x:c r="G54" s="524"/>
      <x:c r="H54" s="524"/>
      <x:c r="I54" s="524"/>
      <x:c r="J54" s="524"/>
    </x:row>
    <x:row r="55">
      <x:c r="A55" s="538" t="n"/>
      <x:c r="B55" s="524"/>
      <x:c r="C55" s="524"/>
      <x:c r="D55" s="524"/>
      <x:c r="E55" s="524"/>
      <x:c r="F55" s="551" t="n"/>
      <x:c r="G55" s="524"/>
      <x:c r="H55" s="524"/>
      <x:c r="I55" s="524"/>
      <x:c r="J55" s="524"/>
    </x:row>
    <x:row r="56">
      <x:c r="A56" s="538" t="n"/>
      <x:c r="B56" s="524"/>
      <x:c r="C56" s="524"/>
      <x:c r="D56" s="524"/>
      <x:c r="E56" s="524"/>
      <x:c r="F56" s="551" t="n"/>
      <x:c r="G56" s="524"/>
      <x:c r="H56" s="524"/>
      <x:c r="I56" s="524"/>
      <x:c r="J56" s="524"/>
    </x:row>
    <x:row r="57">
      <x:c r="A57" s="538" t="n"/>
      <x:c r="B57" s="524"/>
      <x:c r="C57" s="524"/>
      <x:c r="D57" s="524"/>
      <x:c r="E57" s="524"/>
      <x:c r="F57" s="551" t="n"/>
      <x:c r="G57" s="524"/>
      <x:c r="H57" s="524"/>
      <x:c r="I57" s="524"/>
      <x:c r="J57" s="524"/>
    </x:row>
    <x:row r="58">
      <x:c r="A58" s="538" t="n"/>
      <x:c r="B58" s="524"/>
      <x:c r="C58" s="524"/>
      <x:c r="D58" s="524"/>
      <x:c r="E58" s="524"/>
      <x:c r="F58" s="551" t="n"/>
      <x:c r="G58" s="524"/>
      <x:c r="H58" s="524"/>
      <x:c r="I58" s="524"/>
      <x:c r="J58" s="524"/>
    </x:row>
    <x:row r="59">
      <x:c r="A59" s="538" t="n"/>
      <x:c r="B59" s="524"/>
      <x:c r="C59" s="524"/>
      <x:c r="D59" s="524"/>
      <x:c r="E59" s="524"/>
      <x:c r="F59" s="551" t="n"/>
      <x:c r="G59" s="524"/>
      <x:c r="H59" s="524"/>
      <x:c r="I59" s="524"/>
      <x:c r="J59" s="524"/>
    </x:row>
    <x:row r="60">
      <x:c r="A60" s="538" t="n"/>
      <x:c r="B60" s="524"/>
      <x:c r="C60" s="524"/>
      <x:c r="D60" s="524"/>
      <x:c r="E60" s="524"/>
      <x:c r="F60" s="551" t="n"/>
      <x:c r="G60" s="524"/>
      <x:c r="H60" s="524"/>
      <x:c r="I60" s="524"/>
      <x:c r="J60" s="524"/>
    </x:row>
    <x:row r="61">
      <x:c r="A61" s="538" t="n"/>
      <x:c r="B61" s="524"/>
      <x:c r="C61" s="524"/>
      <x:c r="D61" s="524"/>
      <x:c r="E61" s="524"/>
      <x:c r="F61" s="551" t="n"/>
      <x:c r="G61" s="524"/>
      <x:c r="H61" s="524"/>
      <x:c r="I61" s="524"/>
      <x:c r="J61" s="524"/>
    </x:row>
    <x:row r="62">
      <x:c r="A62" s="538" t="n"/>
      <x:c r="B62" s="524"/>
      <x:c r="C62" s="524"/>
      <x:c r="D62" s="524"/>
      <x:c r="E62" s="524"/>
      <x:c r="F62" s="551" t="n"/>
      <x:c r="G62" s="524"/>
      <x:c r="H62" s="524"/>
      <x:c r="I62" s="524"/>
      <x:c r="J62" s="524"/>
    </x:row>
    <x:row r="63">
      <x:c r="A63" s="538" t="n"/>
      <x:c r="B63" s="524"/>
      <x:c r="C63" s="524"/>
      <x:c r="D63" s="524"/>
      <x:c r="E63" s="524"/>
      <x:c r="F63" s="551" t="n"/>
      <x:c r="G63" s="524"/>
      <x:c r="H63" s="524"/>
      <x:c r="I63" s="524"/>
      <x:c r="J63" s="524"/>
    </x:row>
    <x:row r="64">
      <x:c r="A64" s="538" t="n"/>
      <x:c r="B64" s="524"/>
      <x:c r="C64" s="524"/>
      <x:c r="D64" s="524"/>
      <x:c r="E64" s="524"/>
      <x:c r="F64" s="551" t="n"/>
      <x:c r="G64" s="524"/>
      <x:c r="H64" s="524"/>
      <x:c r="I64" s="524"/>
      <x:c r="J64" s="524"/>
    </x:row>
    <x:row r="65">
      <x:c r="A65" s="538" t="n"/>
      <x:c r="B65" s="524"/>
      <x:c r="C65" s="524"/>
      <x:c r="D65" s="524"/>
      <x:c r="E65" s="524"/>
      <x:c r="F65" s="551" t="n"/>
      <x:c r="G65" s="524"/>
      <x:c r="H65" s="524"/>
      <x:c r="I65" s="524"/>
      <x:c r="J65" s="524"/>
    </x:row>
    <x:row r="66">
      <x:c r="A66" s="538" t="n"/>
      <x:c r="B66" s="524"/>
      <x:c r="C66" s="524"/>
      <x:c r="D66" s="524"/>
      <x:c r="E66" s="524"/>
      <x:c r="F66" s="551" t="n"/>
      <x:c r="G66" s="524"/>
      <x:c r="H66" s="524"/>
      <x:c r="I66" s="524"/>
      <x:c r="J66" s="524"/>
    </x:row>
    <x:row r="67">
      <x:c r="A67" s="538" t="n"/>
      <x:c r="B67" s="524"/>
      <x:c r="C67" s="524"/>
      <x:c r="D67" s="524"/>
      <x:c r="E67" s="524"/>
      <x:c r="F67" s="551" t="n"/>
      <x:c r="G67" s="524"/>
      <x:c r="H67" s="524"/>
      <x:c r="I67" s="524"/>
      <x:c r="J67" s="524"/>
    </x:row>
    <x:row r="68">
      <x:c r="A68" s="538" t="n"/>
      <x:c r="B68" s="524"/>
      <x:c r="C68" s="524"/>
      <x:c r="D68" s="524"/>
      <x:c r="E68" s="524"/>
      <x:c r="F68" s="551" t="n"/>
      <x:c r="G68" s="524"/>
      <x:c r="H68" s="524"/>
      <x:c r="I68" s="524"/>
      <x:c r="J68" s="524"/>
    </x:row>
    <x:row r="69">
      <x:c r="A69" s="538" t="n"/>
      <x:c r="B69" s="524"/>
      <x:c r="C69" s="524"/>
      <x:c r="D69" s="524"/>
      <x:c r="E69" s="524"/>
      <x:c r="F69" s="551" t="n"/>
      <x:c r="G69" s="524"/>
      <x:c r="H69" s="524"/>
      <x:c r="I69" s="524"/>
      <x:c r="J69" s="524"/>
    </x:row>
    <x:row r="70">
      <x:c r="A70" s="538" t="n"/>
      <x:c r="B70" s="524"/>
      <x:c r="C70" s="524"/>
      <x:c r="D70" s="524"/>
      <x:c r="E70" s="524"/>
      <x:c r="F70" s="551" t="n"/>
      <x:c r="G70" s="524"/>
      <x:c r="H70" s="524"/>
      <x:c r="I70" s="524"/>
      <x:c r="J70" s="524"/>
    </x:row>
    <x:row r="71">
      <x:c r="A71" s="538" t="n"/>
      <x:c r="B71" s="524"/>
      <x:c r="C71" s="524"/>
      <x:c r="D71" s="524"/>
      <x:c r="E71" s="524"/>
      <x:c r="F71" s="551" t="n"/>
      <x:c r="G71" s="524"/>
      <x:c r="H71" s="524"/>
      <x:c r="I71" s="524"/>
      <x:c r="J71" s="524"/>
    </x:row>
    <x:row r="72">
      <x:c r="A72" s="538" t="n"/>
      <x:c r="B72" s="524"/>
      <x:c r="C72" s="524"/>
      <x:c r="D72" s="524"/>
      <x:c r="E72" s="524"/>
      <x:c r="F72" s="551" t="n"/>
      <x:c r="G72" s="524"/>
      <x:c r="H72" s="524"/>
      <x:c r="I72" s="524"/>
      <x:c r="J72" s="524"/>
    </x:row>
    <x:row r="73">
      <x:c r="A73" s="538" t="n"/>
      <x:c r="B73" s="524"/>
      <x:c r="C73" s="524"/>
      <x:c r="D73" s="524"/>
      <x:c r="E73" s="524"/>
      <x:c r="F73" s="551" t="n"/>
      <x:c r="G73" s="524"/>
      <x:c r="H73" s="524"/>
      <x:c r="I73" s="524"/>
      <x:c r="J73" s="524"/>
    </x:row>
    <x:row r="74">
      <x:c r="A74" s="538" t="n"/>
      <x:c r="B74" s="524"/>
      <x:c r="C74" s="524"/>
      <x:c r="D74" s="524"/>
      <x:c r="E74" s="524"/>
      <x:c r="F74" s="551" t="n"/>
      <x:c r="G74" s="524"/>
      <x:c r="H74" s="524"/>
      <x:c r="I74" s="524"/>
      <x:c r="J74" s="524"/>
    </x:row>
    <x:row r="75">
      <x:c r="A75" s="538" t="n"/>
      <x:c r="B75" s="524"/>
      <x:c r="C75" s="524"/>
      <x:c r="D75" s="524"/>
      <x:c r="E75" s="524"/>
      <x:c r="F75" s="551" t="n"/>
      <x:c r="G75" s="524"/>
      <x:c r="H75" s="524"/>
      <x:c r="I75" s="524"/>
      <x:c r="J75" s="524"/>
    </x:row>
    <x:row r="76">
      <x:c r="A76" s="538" t="n"/>
      <x:c r="B76" s="524"/>
      <x:c r="C76" s="524"/>
      <x:c r="D76" s="524"/>
      <x:c r="E76" s="524"/>
      <x:c r="F76" s="551" t="n"/>
      <x:c r="G76" s="524"/>
      <x:c r="H76" s="524"/>
      <x:c r="I76" s="524"/>
      <x:c r="J76" s="524"/>
    </x:row>
    <x:row r="77">
      <x:c r="A77" s="538" t="n"/>
      <x:c r="B77" s="524"/>
      <x:c r="C77" s="524"/>
      <x:c r="D77" s="524"/>
      <x:c r="E77" s="524"/>
      <x:c r="F77" s="551" t="n"/>
      <x:c r="G77" s="524"/>
      <x:c r="H77" s="524"/>
      <x:c r="I77" s="524"/>
      <x:c r="J77" s="524"/>
    </x:row>
    <x:row r="78">
      <x:c r="A78" s="538" t="n"/>
      <x:c r="B78" s="524"/>
      <x:c r="C78" s="524"/>
      <x:c r="D78" s="524"/>
      <x:c r="E78" s="524"/>
      <x:c r="F78" s="551" t="n"/>
      <x:c r="G78" s="524"/>
      <x:c r="H78" s="524"/>
      <x:c r="I78" s="524"/>
      <x:c r="J78" s="524"/>
    </x:row>
    <x:row r="79">
      <x:c r="A79" s="538" t="n"/>
      <x:c r="B79" s="524"/>
      <x:c r="C79" s="524"/>
      <x:c r="D79" s="524"/>
      <x:c r="E79" s="524"/>
      <x:c r="F79" s="551" t="n"/>
      <x:c r="G79" s="524"/>
      <x:c r="H79" s="524"/>
      <x:c r="I79" s="524"/>
      <x:c r="J79" s="524"/>
    </x:row>
    <x:row r="80">
      <x:c r="A80" s="538" t="n"/>
      <x:c r="B80" s="524"/>
      <x:c r="C80" s="524"/>
      <x:c r="D80" s="524"/>
      <x:c r="E80" s="524"/>
      <x:c r="F80" s="551" t="n"/>
      <x:c r="G80" s="524"/>
      <x:c r="H80" s="524"/>
      <x:c r="I80" s="524"/>
      <x:c r="J80" s="524"/>
    </x:row>
    <x:row r="81">
      <x:c r="A81" s="538" t="n"/>
      <x:c r="B81" s="524"/>
      <x:c r="C81" s="524"/>
      <x:c r="D81" s="524"/>
      <x:c r="E81" s="524"/>
      <x:c r="F81" s="551" t="n"/>
      <x:c r="G81" s="524"/>
      <x:c r="H81" s="524"/>
      <x:c r="I81" s="524"/>
      <x:c r="J81" s="524"/>
    </x:row>
    <x:row r="82">
      <x:c r="A82" s="538" t="n"/>
      <x:c r="B82" s="524"/>
      <x:c r="C82" s="524"/>
      <x:c r="D82" s="524"/>
      <x:c r="E82" s="524"/>
      <x:c r="F82" s="551" t="n"/>
      <x:c r="G82" s="524"/>
      <x:c r="H82" s="524"/>
      <x:c r="I82" s="524"/>
      <x:c r="J82" s="524"/>
    </x:row>
    <x:row r="83">
      <x:c r="A83" s="538" t="n"/>
      <x:c r="B83" s="524"/>
      <x:c r="C83" s="524"/>
      <x:c r="D83" s="524"/>
      <x:c r="E83" s="524"/>
      <x:c r="F83" s="551" t="n"/>
      <x:c r="G83" s="524"/>
      <x:c r="H83" s="524"/>
      <x:c r="I83" s="524"/>
      <x:c r="J83" s="524"/>
    </x:row>
    <x:row r="84">
      <x:c r="A84" s="538" t="n"/>
      <x:c r="B84" s="524"/>
      <x:c r="C84" s="524"/>
      <x:c r="D84" s="524"/>
      <x:c r="E84" s="524"/>
      <x:c r="F84" s="551" t="n"/>
      <x:c r="G84" s="524"/>
      <x:c r="H84" s="524"/>
      <x:c r="I84" s="524"/>
      <x:c r="J84" s="524"/>
    </x:row>
    <x:row r="85">
      <x:c r="A85" s="538" t="n"/>
      <x:c r="B85" s="524"/>
      <x:c r="C85" s="524"/>
      <x:c r="D85" s="524"/>
      <x:c r="E85" s="524"/>
      <x:c r="F85" s="551" t="n"/>
      <x:c r="G85" s="524"/>
      <x:c r="H85" s="524"/>
      <x:c r="I85" s="524"/>
      <x:c r="J85" s="524"/>
    </x:row>
    <x:row r="86">
      <x:c r="A86" s="538" t="n"/>
      <x:c r="B86" s="524"/>
      <x:c r="C86" s="524"/>
      <x:c r="D86" s="524"/>
      <x:c r="E86" s="524"/>
      <x:c r="F86" s="551" t="n"/>
      <x:c r="G86" s="524"/>
      <x:c r="H86" s="524"/>
      <x:c r="I86" s="524"/>
      <x:c r="J86" s="524"/>
    </x:row>
    <x:row r="87">
      <x:c r="A87" s="538" t="n"/>
      <x:c r="B87" s="524"/>
      <x:c r="C87" s="524"/>
      <x:c r="D87" s="524"/>
      <x:c r="E87" s="524"/>
      <x:c r="F87" s="551" t="n"/>
      <x:c r="G87" s="524"/>
      <x:c r="H87" s="524"/>
      <x:c r="I87" s="524"/>
      <x:c r="J87" s="524"/>
    </x:row>
    <x:row r="88">
      <x:c r="A88" s="538" t="n"/>
      <x:c r="B88" s="524"/>
      <x:c r="C88" s="524"/>
      <x:c r="D88" s="524"/>
      <x:c r="E88" s="524"/>
      <x:c r="F88" s="551" t="n"/>
      <x:c r="G88" s="524"/>
      <x:c r="H88" s="524"/>
      <x:c r="I88" s="524"/>
      <x:c r="J88" s="524"/>
    </x:row>
    <x:row r="89">
      <x:c r="A89" s="538" t="n"/>
      <x:c r="B89" s="524"/>
      <x:c r="C89" s="524"/>
      <x:c r="D89" s="524"/>
      <x:c r="E89" s="524"/>
      <x:c r="F89" s="551" t="n"/>
      <x:c r="G89" s="524"/>
      <x:c r="H89" s="524"/>
      <x:c r="I89" s="524"/>
      <x:c r="J89" s="524"/>
    </x:row>
    <x:row r="90">
      <x:c r="A90" s="538" t="n"/>
      <x:c r="B90" s="524"/>
      <x:c r="C90" s="524"/>
      <x:c r="D90" s="524"/>
      <x:c r="E90" s="524"/>
      <x:c r="F90" s="551" t="n"/>
      <x:c r="G90" s="524"/>
      <x:c r="H90" s="524"/>
      <x:c r="I90" s="524"/>
      <x:c r="J90" s="524"/>
    </x:row>
    <x:row r="91">
      <x:c r="A91" s="538" t="n"/>
      <x:c r="B91" s="524"/>
      <x:c r="C91" s="524"/>
      <x:c r="D91" s="524"/>
      <x:c r="E91" s="524"/>
      <x:c r="F91" s="551" t="n"/>
      <x:c r="G91" s="524"/>
      <x:c r="H91" s="524"/>
      <x:c r="I91" s="524"/>
      <x:c r="J91" s="524"/>
    </x:row>
    <x:row r="92">
      <x:c r="A92" s="538" t="n"/>
      <x:c r="B92" s="524"/>
      <x:c r="C92" s="524"/>
      <x:c r="D92" s="524"/>
      <x:c r="E92" s="524"/>
      <x:c r="F92" s="551" t="n"/>
      <x:c r="G92" s="524"/>
      <x:c r="H92" s="524"/>
      <x:c r="I92" s="524"/>
      <x:c r="J92" s="524"/>
    </x:row>
    <x:row r="93">
      <x:c r="A93" s="538" t="n"/>
      <x:c r="B93" s="524"/>
      <x:c r="C93" s="524"/>
      <x:c r="D93" s="524"/>
      <x:c r="E93" s="524"/>
      <x:c r="F93" s="551" t="n"/>
      <x:c r="G93" s="524"/>
      <x:c r="H93" s="524"/>
      <x:c r="I93" s="524"/>
      <x:c r="J93" s="524"/>
    </x:row>
    <x:row r="94">
      <x:c r="A94" s="538" t="n"/>
      <x:c r="B94" s="524"/>
      <x:c r="C94" s="524"/>
      <x:c r="D94" s="524"/>
      <x:c r="E94" s="524"/>
      <x:c r="F94" s="551" t="n"/>
      <x:c r="G94" s="524"/>
      <x:c r="H94" s="524"/>
      <x:c r="I94" s="524"/>
      <x:c r="J94" s="524"/>
    </x:row>
    <x:row r="95">
      <x:c r="A95" s="538" t="n"/>
      <x:c r="B95" s="524"/>
      <x:c r="C95" s="524"/>
      <x:c r="D95" s="524"/>
      <x:c r="E95" s="524"/>
      <x:c r="F95" s="551" t="n"/>
      <x:c r="G95" s="524"/>
      <x:c r="H95" s="524"/>
      <x:c r="I95" s="524"/>
      <x:c r="J95" s="524"/>
    </x:row>
    <x:row r="96">
      <x:c r="A96" s="538" t="n"/>
      <x:c r="B96" s="524"/>
      <x:c r="C96" s="524"/>
      <x:c r="D96" s="524"/>
      <x:c r="E96" s="524"/>
      <x:c r="F96" s="551" t="n"/>
      <x:c r="G96" s="524"/>
      <x:c r="H96" s="524"/>
      <x:c r="I96" s="524"/>
      <x:c r="J96" s="524"/>
    </x:row>
    <x:row r="97">
      <x:c r="A97" s="538" t="n"/>
      <x:c r="B97" s="524"/>
      <x:c r="C97" s="524"/>
      <x:c r="D97" s="524"/>
      <x:c r="E97" s="524"/>
      <x:c r="F97" s="551" t="n"/>
      <x:c r="G97" s="524"/>
      <x:c r="H97" s="524"/>
      <x:c r="I97" s="524"/>
      <x:c r="J97" s="524"/>
    </x:row>
    <x:row r="98">
      <x:c r="A98" s="538" t="n"/>
      <x:c r="B98" s="524"/>
      <x:c r="C98" s="524"/>
      <x:c r="D98" s="524"/>
      <x:c r="E98" s="524"/>
      <x:c r="F98" s="551" t="n"/>
      <x:c r="G98" s="524"/>
      <x:c r="H98" s="524"/>
      <x:c r="I98" s="524"/>
      <x:c r="J98" s="524"/>
    </x:row>
    <x:row r="99">
      <x:c r="A99" s="538" t="n"/>
      <x:c r="B99" s="524"/>
      <x:c r="C99" s="524"/>
      <x:c r="D99" s="524"/>
      <x:c r="E99" s="524"/>
      <x:c r="F99" s="551" t="n"/>
      <x:c r="G99" s="524"/>
      <x:c r="H99" s="524"/>
      <x:c r="I99" s="524"/>
      <x:c r="J99" s="524"/>
    </x:row>
    <x:row r="100">
      <x:c r="A100" s="538" t="n"/>
      <x:c r="B100" s="524"/>
      <x:c r="C100" s="524"/>
      <x:c r="D100" s="524"/>
      <x:c r="E100" s="524"/>
      <x:c r="F100" s="551" t="n"/>
      <x:c r="G100" s="524"/>
      <x:c r="H100" s="524"/>
      <x:c r="I100" s="524"/>
      <x:c r="J100" s="524"/>
    </x:row>
    <x:row r="101">
      <x:c r="A101" s="538" t="n"/>
      <x:c r="B101" s="524"/>
      <x:c r="C101" s="524"/>
      <x:c r="D101" s="524"/>
      <x:c r="E101" s="524"/>
      <x:c r="F101" s="551" t="n"/>
      <x:c r="G101" s="524"/>
      <x:c r="H101" s="524"/>
      <x:c r="I101" s="524"/>
      <x:c r="J101" s="524"/>
    </x:row>
    <x:row r="102">
      <x:c r="A102" s="538" t="n"/>
      <x:c r="B102" s="524"/>
      <x:c r="C102" s="524"/>
      <x:c r="D102" s="524"/>
      <x:c r="E102" s="524"/>
      <x:c r="F102" s="551" t="n"/>
      <x:c r="G102" s="524"/>
      <x:c r="H102" s="524"/>
      <x:c r="I102" s="524"/>
      <x:c r="J102" s="524"/>
    </x:row>
    <x:row r="103">
      <x:c r="A103" s="538" t="n"/>
      <x:c r="B103" s="524"/>
      <x:c r="C103" s="524"/>
      <x:c r="D103" s="524"/>
      <x:c r="E103" s="524"/>
      <x:c r="F103" s="551" t="n"/>
      <x:c r="G103" s="524"/>
      <x:c r="H103" s="524"/>
      <x:c r="I103" s="524"/>
      <x:c r="J103" s="524"/>
    </x:row>
    <x:row r="104">
      <x:c r="A104" s="538" t="n"/>
      <x:c r="B104" s="524"/>
      <x:c r="C104" s="524"/>
      <x:c r="D104" s="524"/>
      <x:c r="E104" s="524"/>
      <x:c r="F104" s="551" t="n"/>
      <x:c r="G104" s="524"/>
      <x:c r="H104" s="524"/>
      <x:c r="I104" s="524"/>
      <x:c r="J104" s="524"/>
    </x:row>
    <x:row r="105">
      <x:c r="A105" s="538" t="n"/>
      <x:c r="B105" s="524"/>
      <x:c r="C105" s="524"/>
      <x:c r="D105" s="524"/>
      <x:c r="E105" s="524"/>
      <x:c r="F105" s="551" t="n"/>
      <x:c r="G105" s="524"/>
      <x:c r="H105" s="524"/>
      <x:c r="I105" s="524"/>
      <x:c r="J105" s="524"/>
    </x:row>
    <x:row r="106">
      <x:c r="A106" s="538" t="n"/>
      <x:c r="B106" s="524"/>
      <x:c r="C106" s="524"/>
      <x:c r="D106" s="524"/>
      <x:c r="E106" s="524"/>
      <x:c r="F106" s="551" t="n"/>
      <x:c r="G106" s="524"/>
      <x:c r="H106" s="524"/>
      <x:c r="I106" s="524"/>
      <x:c r="J106" s="524"/>
    </x:row>
    <x:row r="107">
      <x:c r="A107" s="538" t="n"/>
      <x:c r="B107" s="524"/>
      <x:c r="C107" s="524"/>
      <x:c r="D107" s="524"/>
      <x:c r="E107" s="524"/>
      <x:c r="F107" s="551" t="n"/>
      <x:c r="G107" s="524"/>
      <x:c r="H107" s="524"/>
      <x:c r="I107" s="524"/>
      <x:c r="J107" s="524"/>
    </x:row>
    <x:row r="108">
      <x:c r="A108" s="538" t="n"/>
      <x:c r="B108" s="524"/>
      <x:c r="C108" s="524"/>
      <x:c r="D108" s="524"/>
      <x:c r="E108" s="524"/>
      <x:c r="F108" s="551" t="n"/>
      <x:c r="G108" s="524"/>
      <x:c r="H108" s="524"/>
      <x:c r="I108" s="524"/>
      <x:c r="J108" s="524"/>
    </x:row>
    <x:row r="109">
      <x:c r="A109" s="538" t="n"/>
      <x:c r="B109" s="524"/>
      <x:c r="C109" s="524"/>
      <x:c r="D109" s="524"/>
      <x:c r="E109" s="524"/>
      <x:c r="F109" s="551" t="n"/>
      <x:c r="G109" s="524"/>
      <x:c r="H109" s="524"/>
      <x:c r="I109" s="524"/>
      <x:c r="J109" s="524"/>
    </x:row>
    <x:row r="110">
      <x:c r="A110" s="538" t="n"/>
      <x:c r="B110" s="524"/>
      <x:c r="C110" s="524"/>
      <x:c r="D110" s="524"/>
      <x:c r="E110" s="524"/>
      <x:c r="F110" s="551" t="n"/>
      <x:c r="G110" s="524"/>
      <x:c r="H110" s="524"/>
      <x:c r="I110" s="524"/>
      <x:c r="J110" s="524"/>
    </x:row>
    <x:row r="111">
      <x:c r="A111" s="538" t="n"/>
      <x:c r="B111" s="524"/>
      <x:c r="C111" s="524"/>
      <x:c r="D111" s="524"/>
      <x:c r="E111" s="524"/>
      <x:c r="F111" s="551" t="n"/>
      <x:c r="G111" s="524"/>
      <x:c r="H111" s="524"/>
      <x:c r="I111" s="524"/>
      <x:c r="J111" s="524"/>
    </x:row>
    <x:row r="112">
      <x:c r="A112" s="538" t="n"/>
      <x:c r="B112" s="524"/>
      <x:c r="C112" s="524"/>
      <x:c r="D112" s="524"/>
      <x:c r="E112" s="524"/>
      <x:c r="F112" s="551" t="n"/>
      <x:c r="G112" s="524"/>
      <x:c r="H112" s="524"/>
      <x:c r="I112" s="524"/>
      <x:c r="J112" s="524"/>
    </x:row>
    <x:row r="113">
      <x:c r="A113" s="538" t="n"/>
      <x:c r="B113" s="524"/>
      <x:c r="C113" s="524"/>
      <x:c r="D113" s="524"/>
      <x:c r="E113" s="524"/>
      <x:c r="F113" s="551" t="n"/>
      <x:c r="G113" s="524"/>
      <x:c r="H113" s="524"/>
      <x:c r="I113" s="524"/>
      <x:c r="J113" s="524"/>
    </x:row>
    <x:row r="114">
      <x:c r="A114" s="538" t="n"/>
      <x:c r="B114" s="524"/>
      <x:c r="C114" s="524"/>
      <x:c r="D114" s="524"/>
      <x:c r="E114" s="524"/>
      <x:c r="F114" s="551" t="n"/>
      <x:c r="G114" s="524"/>
      <x:c r="H114" s="524"/>
      <x:c r="I114" s="524"/>
      <x:c r="J114" s="524"/>
    </x:row>
    <x:row r="115">
      <x:c r="A115" s="538" t="n"/>
      <x:c r="B115" s="524"/>
      <x:c r="C115" s="524"/>
      <x:c r="D115" s="524"/>
      <x:c r="E115" s="524"/>
      <x:c r="F115" s="551" t="n"/>
      <x:c r="G115" s="524"/>
      <x:c r="H115" s="524"/>
      <x:c r="I115" s="524"/>
      <x:c r="J115" s="524"/>
    </x:row>
    <x:row r="116">
      <x:c r="A116" s="538" t="n"/>
      <x:c r="B116" s="524"/>
      <x:c r="C116" s="524"/>
      <x:c r="D116" s="524"/>
      <x:c r="E116" s="524"/>
      <x:c r="F116" s="551" t="n"/>
      <x:c r="G116" s="524"/>
      <x:c r="H116" s="524"/>
      <x:c r="I116" s="524"/>
      <x:c r="J116" s="524"/>
    </x:row>
    <x:row r="117">
      <x:c r="A117" s="538" t="n"/>
      <x:c r="B117" s="524"/>
      <x:c r="C117" s="524"/>
      <x:c r="D117" s="524"/>
      <x:c r="E117" s="524"/>
      <x:c r="F117" s="551" t="n"/>
      <x:c r="G117" s="524"/>
      <x:c r="H117" s="524"/>
      <x:c r="I117" s="524"/>
      <x:c r="J117" s="524"/>
    </x:row>
    <x:row r="118">
      <x:c r="A118" s="538" t="n"/>
      <x:c r="B118" s="524"/>
      <x:c r="C118" s="524"/>
      <x:c r="D118" s="524"/>
      <x:c r="E118" s="524"/>
      <x:c r="F118" s="551" t="n"/>
      <x:c r="G118" s="524"/>
      <x:c r="H118" s="524"/>
      <x:c r="I118" s="524"/>
      <x:c r="J118" s="524"/>
    </x:row>
    <x:row r="119">
      <x:c r="A119" s="538" t="n"/>
      <x:c r="B119" s="524"/>
      <x:c r="C119" s="524"/>
      <x:c r="D119" s="524"/>
      <x:c r="E119" s="524"/>
      <x:c r="F119" s="551" t="n"/>
      <x:c r="G119" s="524"/>
      <x:c r="H119" s="524"/>
      <x:c r="I119" s="524"/>
      <x:c r="J119" s="524"/>
    </x:row>
    <x:row r="120">
      <x:c r="A120" s="538" t="n"/>
      <x:c r="B120" s="524"/>
      <x:c r="C120" s="524"/>
      <x:c r="D120" s="524"/>
      <x:c r="E120" s="524"/>
      <x:c r="F120" s="551" t="n"/>
      <x:c r="G120" s="524"/>
      <x:c r="H120" s="524"/>
      <x:c r="I120" s="524"/>
      <x:c r="J120" s="524"/>
    </x:row>
    <x:row r="121">
      <x:c r="A121" s="538" t="n"/>
      <x:c r="B121" s="524"/>
      <x:c r="C121" s="524"/>
      <x:c r="D121" s="524"/>
      <x:c r="E121" s="524"/>
      <x:c r="F121" s="551" t="n"/>
      <x:c r="G121" s="524"/>
      <x:c r="H121" s="524"/>
      <x:c r="I121" s="524"/>
      <x:c r="J121" s="524"/>
    </x:row>
    <x:row r="122">
      <x:c r="A122" s="538" t="n"/>
      <x:c r="B122" s="524"/>
      <x:c r="C122" s="524"/>
      <x:c r="D122" s="524"/>
      <x:c r="E122" s="524"/>
      <x:c r="F122" s="551" t="n"/>
      <x:c r="G122" s="524"/>
      <x:c r="H122" s="524"/>
      <x:c r="I122" s="524"/>
      <x:c r="J122" s="524"/>
    </x:row>
    <x:row r="123">
      <x:c r="A123" s="538" t="n"/>
      <x:c r="B123" s="524"/>
      <x:c r="C123" s="524"/>
      <x:c r="D123" s="524"/>
      <x:c r="E123" s="524"/>
      <x:c r="F123" s="551" t="n"/>
      <x:c r="G123" s="524"/>
      <x:c r="H123" s="524"/>
      <x:c r="I123" s="524"/>
      <x:c r="J123" s="524"/>
    </x:row>
    <x:row r="124">
      <x:c r="A124" s="538" t="n"/>
      <x:c r="B124" s="524"/>
      <x:c r="C124" s="524"/>
      <x:c r="D124" s="524"/>
      <x:c r="E124" s="524"/>
      <x:c r="F124" s="551" t="n"/>
      <x:c r="G124" s="524"/>
      <x:c r="H124" s="524"/>
      <x:c r="I124" s="524"/>
      <x:c r="J124" s="524"/>
    </x:row>
    <x:row r="125">
      <x:c r="A125" s="538" t="n"/>
      <x:c r="B125" s="524"/>
      <x:c r="C125" s="524"/>
      <x:c r="D125" s="524"/>
      <x:c r="E125" s="524"/>
      <x:c r="F125" s="551" t="n"/>
      <x:c r="G125" s="524"/>
      <x:c r="H125" s="524"/>
      <x:c r="I125" s="524"/>
      <x:c r="J125" s="524"/>
    </x:row>
    <x:row r="126">
      <x:c r="A126" s="538" t="n"/>
      <x:c r="B126" s="524"/>
      <x:c r="C126" s="524"/>
      <x:c r="D126" s="524"/>
      <x:c r="E126" s="524"/>
      <x:c r="F126" s="551" t="n"/>
      <x:c r="G126" s="524"/>
      <x:c r="H126" s="524"/>
      <x:c r="I126" s="524"/>
      <x:c r="J126" s="524"/>
    </x:row>
    <x:row r="127">
      <x:c r="A127" s="538" t="n"/>
      <x:c r="B127" s="524"/>
      <x:c r="C127" s="524"/>
      <x:c r="D127" s="524"/>
      <x:c r="E127" s="524"/>
      <x:c r="F127" s="551" t="n"/>
      <x:c r="G127" s="524"/>
      <x:c r="H127" s="524"/>
      <x:c r="I127" s="524"/>
      <x:c r="J127" s="524"/>
    </x:row>
    <x:row r="128">
      <x:c r="A128" s="538" t="n"/>
      <x:c r="B128" s="524"/>
      <x:c r="C128" s="524"/>
      <x:c r="D128" s="524"/>
      <x:c r="E128" s="524"/>
      <x:c r="F128" s="551" t="n"/>
      <x:c r="G128" s="524"/>
      <x:c r="H128" s="524"/>
      <x:c r="I128" s="524"/>
      <x:c r="J128" s="524"/>
    </x:row>
    <x:row r="129">
      <x:c r="A129" s="538" t="n"/>
      <x:c r="B129" s="524"/>
      <x:c r="C129" s="524"/>
      <x:c r="D129" s="524"/>
      <x:c r="E129" s="524"/>
      <x:c r="F129" s="551" t="n"/>
      <x:c r="G129" s="524"/>
      <x:c r="H129" s="524"/>
      <x:c r="I129" s="524"/>
      <x:c r="J129" s="524"/>
    </x:row>
    <x:row r="130">
      <x:c r="A130" s="538" t="n"/>
      <x:c r="B130" s="524"/>
      <x:c r="C130" s="524"/>
      <x:c r="D130" s="524"/>
      <x:c r="E130" s="524"/>
      <x:c r="F130" s="551" t="n"/>
      <x:c r="G130" s="524"/>
      <x:c r="H130" s="524"/>
      <x:c r="I130" s="524"/>
      <x:c r="J130" s="524"/>
    </x:row>
    <x:row r="131">
      <x:c r="A131" s="538" t="n"/>
      <x:c r="B131" s="524"/>
      <x:c r="C131" s="524"/>
      <x:c r="D131" s="524"/>
      <x:c r="E131" s="524"/>
      <x:c r="F131" s="551" t="n"/>
      <x:c r="G131" s="524"/>
      <x:c r="H131" s="524"/>
      <x:c r="I131" s="524"/>
      <x:c r="J131" s="524"/>
    </x:row>
    <x:row r="132">
      <x:c r="A132" s="538" t="n"/>
      <x:c r="B132" s="524"/>
      <x:c r="C132" s="524"/>
      <x:c r="D132" s="524"/>
      <x:c r="E132" s="524"/>
      <x:c r="F132" s="551" t="n"/>
      <x:c r="G132" s="524"/>
      <x:c r="H132" s="524"/>
      <x:c r="I132" s="524"/>
      <x:c r="J132" s="524"/>
    </x:row>
    <x:row r="133">
      <x:c r="A133" s="538" t="n"/>
      <x:c r="B133" s="524"/>
      <x:c r="C133" s="524"/>
      <x:c r="D133" s="524"/>
      <x:c r="E133" s="524"/>
      <x:c r="F133" s="551" t="n"/>
      <x:c r="G133" s="524"/>
      <x:c r="H133" s="524"/>
      <x:c r="I133" s="524"/>
      <x:c r="J133" s="524"/>
    </x:row>
    <x:row r="134">
      <x:c r="A134" s="538" t="n"/>
      <x:c r="B134" s="524"/>
      <x:c r="C134" s="524"/>
      <x:c r="D134" s="524"/>
      <x:c r="E134" s="524"/>
      <x:c r="F134" s="551" t="n"/>
      <x:c r="G134" s="524"/>
      <x:c r="H134" s="524"/>
      <x:c r="I134" s="524"/>
      <x:c r="J134" s="524"/>
    </x:row>
    <x:row r="135">
      <x:c r="A135" s="538" t="n"/>
      <x:c r="B135" s="524"/>
      <x:c r="C135" s="524"/>
      <x:c r="D135" s="524"/>
      <x:c r="E135" s="524"/>
      <x:c r="F135" s="551" t="n"/>
      <x:c r="G135" s="524"/>
      <x:c r="H135" s="524"/>
      <x:c r="I135" s="524"/>
      <x:c r="J135" s="524"/>
    </x:row>
    <x:row r="136">
      <x:c r="A136" s="538" t="n"/>
      <x:c r="B136" s="524"/>
      <x:c r="C136" s="524"/>
      <x:c r="D136" s="524"/>
      <x:c r="E136" s="524"/>
      <x:c r="F136" s="551" t="n"/>
      <x:c r="G136" s="524"/>
      <x:c r="H136" s="524"/>
      <x:c r="I136" s="524"/>
      <x:c r="J136" s="524"/>
    </x:row>
    <x:row r="137">
      <x:c r="A137" s="538" t="n"/>
      <x:c r="B137" s="524"/>
      <x:c r="C137" s="524"/>
      <x:c r="D137" s="524"/>
      <x:c r="E137" s="524"/>
      <x:c r="F137" s="551" t="n"/>
      <x:c r="G137" s="524"/>
      <x:c r="H137" s="524"/>
      <x:c r="I137" s="524"/>
      <x:c r="J137" s="524"/>
    </x:row>
    <x:row r="138">
      <x:c r="A138" s="538" t="n"/>
      <x:c r="B138" s="524"/>
      <x:c r="C138" s="524"/>
      <x:c r="D138" s="524"/>
      <x:c r="E138" s="524"/>
      <x:c r="F138" s="551" t="n"/>
      <x:c r="G138" s="524"/>
      <x:c r="H138" s="524"/>
      <x:c r="I138" s="524"/>
      <x:c r="J138" s="524"/>
    </x:row>
    <x:row r="139">
      <x:c r="A139" s="538" t="n"/>
      <x:c r="B139" s="524"/>
      <x:c r="C139" s="524"/>
      <x:c r="D139" s="524"/>
      <x:c r="E139" s="524"/>
      <x:c r="F139" s="551" t="n"/>
      <x:c r="G139" s="524"/>
      <x:c r="H139" s="524"/>
      <x:c r="I139" s="524"/>
      <x:c r="J139" s="524"/>
    </x:row>
    <x:row r="140">
      <x:c r="A140" s="538" t="n"/>
      <x:c r="B140" s="524"/>
      <x:c r="C140" s="524"/>
      <x:c r="D140" s="524"/>
      <x:c r="E140" s="524"/>
      <x:c r="F140" s="551" t="n"/>
      <x:c r="G140" s="524"/>
      <x:c r="H140" s="524"/>
      <x:c r="I140" s="524"/>
      <x:c r="J140" s="524"/>
    </x:row>
    <x:row r="141">
      <x:c r="A141" s="538" t="n"/>
      <x:c r="B141" s="524"/>
      <x:c r="C141" s="524"/>
      <x:c r="D141" s="524"/>
      <x:c r="E141" s="524"/>
      <x:c r="F141" s="551" t="n"/>
      <x:c r="G141" s="524"/>
      <x:c r="H141" s="524"/>
      <x:c r="I141" s="524"/>
      <x:c r="J141" s="524"/>
    </x:row>
    <x:row r="142">
      <x:c r="A142" s="538" t="n"/>
      <x:c r="B142" s="524"/>
      <x:c r="C142" s="524"/>
      <x:c r="D142" s="524"/>
      <x:c r="E142" s="524"/>
      <x:c r="F142" s="551" t="n"/>
      <x:c r="G142" s="524"/>
      <x:c r="H142" s="524"/>
      <x:c r="I142" s="524"/>
      <x:c r="J142" s="524"/>
    </x:row>
    <x:row r="143">
      <x:c r="A143" s="538" t="n"/>
      <x:c r="B143" s="524"/>
      <x:c r="C143" s="524"/>
      <x:c r="D143" s="524"/>
      <x:c r="E143" s="524"/>
      <x:c r="F143" s="551" t="n"/>
      <x:c r="G143" s="524"/>
      <x:c r="H143" s="524"/>
      <x:c r="I143" s="524"/>
      <x:c r="J143" s="524"/>
    </x:row>
    <x:row r="144">
      <x:c r="A144" s="538" t="n"/>
      <x:c r="B144" s="524"/>
      <x:c r="C144" s="524"/>
      <x:c r="D144" s="524"/>
      <x:c r="E144" s="524"/>
      <x:c r="F144" s="551" t="n"/>
      <x:c r="G144" s="524"/>
      <x:c r="H144" s="524"/>
      <x:c r="I144" s="524"/>
      <x:c r="J144" s="524"/>
    </x:row>
    <x:row r="145">
      <x:c r="A145" s="538" t="n"/>
      <x:c r="B145" s="524"/>
      <x:c r="C145" s="524"/>
      <x:c r="D145" s="524"/>
      <x:c r="E145" s="524"/>
      <x:c r="F145" s="551" t="n"/>
      <x:c r="G145" s="524"/>
      <x:c r="H145" s="524"/>
      <x:c r="I145" s="524"/>
      <x:c r="J145" s="524"/>
    </x:row>
    <x:row r="146">
      <x:c r="A146" s="538" t="n"/>
      <x:c r="B146" s="524"/>
      <x:c r="C146" s="524"/>
      <x:c r="D146" s="524"/>
      <x:c r="E146" s="524"/>
      <x:c r="F146" s="551" t="n"/>
      <x:c r="G146" s="524"/>
      <x:c r="H146" s="524"/>
      <x:c r="I146" s="524"/>
      <x:c r="J146" s="524"/>
    </x:row>
    <x:row r="147">
      <x:c r="A147" s="538" t="n"/>
      <x:c r="B147" s="524"/>
      <x:c r="C147" s="524"/>
      <x:c r="D147" s="524"/>
      <x:c r="E147" s="524"/>
      <x:c r="F147" s="551" t="n"/>
      <x:c r="G147" s="524"/>
      <x:c r="H147" s="524"/>
      <x:c r="I147" s="524"/>
      <x:c r="J147" s="524"/>
    </x:row>
    <x:row r="148">
      <x:c r="A148" s="538" t="n"/>
      <x:c r="B148" s="524"/>
      <x:c r="C148" s="524"/>
      <x:c r="D148" s="524"/>
      <x:c r="E148" s="524"/>
      <x:c r="F148" s="551" t="n"/>
      <x:c r="G148" s="524"/>
      <x:c r="H148" s="524"/>
      <x:c r="I148" s="524"/>
      <x:c r="J148" s="524"/>
    </x:row>
    <x:row r="149">
      <x:c r="A149" s="538" t="n"/>
      <x:c r="B149" s="524"/>
      <x:c r="C149" s="524"/>
      <x:c r="D149" s="524"/>
      <x:c r="E149" s="524"/>
      <x:c r="F149" s="551" t="n"/>
      <x:c r="G149" s="524"/>
      <x:c r="H149" s="524"/>
      <x:c r="I149" s="524"/>
      <x:c r="J149" s="524"/>
    </x:row>
    <x:row r="150">
      <x:c r="A150" s="538" t="n"/>
      <x:c r="B150" s="524"/>
      <x:c r="C150" s="524"/>
      <x:c r="D150" s="524"/>
      <x:c r="E150" s="524"/>
      <x:c r="F150" s="551" t="n"/>
      <x:c r="G150" s="524"/>
      <x:c r="H150" s="524"/>
      <x:c r="I150" s="524"/>
      <x:c r="J150" s="524"/>
    </x:row>
    <x:row r="151">
      <x:c r="A151" s="538" t="n"/>
      <x:c r="B151" s="524"/>
      <x:c r="C151" s="524"/>
      <x:c r="D151" s="524"/>
      <x:c r="E151" s="524"/>
      <x:c r="F151" s="551" t="n"/>
      <x:c r="G151" s="524"/>
      <x:c r="H151" s="524"/>
      <x:c r="I151" s="524"/>
      <x:c r="J151" s="524"/>
    </x:row>
    <x:row r="152">
      <x:c r="A152" s="538" t="n"/>
      <x:c r="B152" s="524"/>
      <x:c r="C152" s="524"/>
      <x:c r="D152" s="524"/>
      <x:c r="E152" s="524"/>
      <x:c r="F152" s="551" t="n"/>
      <x:c r="G152" s="524"/>
      <x:c r="H152" s="524"/>
      <x:c r="I152" s="524"/>
      <x:c r="J152" s="524"/>
    </x:row>
    <x:row r="153">
      <x:c r="A153" s="538" t="n"/>
      <x:c r="B153" s="524"/>
      <x:c r="C153" s="524"/>
      <x:c r="D153" s="524"/>
      <x:c r="E153" s="524"/>
      <x:c r="F153" s="551" t="n"/>
      <x:c r="G153" s="524"/>
      <x:c r="H153" s="524"/>
      <x:c r="I153" s="524"/>
      <x:c r="J153" s="524"/>
    </x:row>
    <x:row r="154">
      <x:c r="A154" s="538" t="n"/>
      <x:c r="B154" s="524"/>
      <x:c r="C154" s="524"/>
      <x:c r="D154" s="524"/>
      <x:c r="E154" s="524"/>
      <x:c r="F154" s="551" t="n"/>
      <x:c r="G154" s="524"/>
      <x:c r="H154" s="524"/>
      <x:c r="I154" s="524"/>
      <x:c r="J154" s="524"/>
    </x:row>
    <x:row r="155">
      <x:c r="A155" s="538" t="n"/>
      <x:c r="B155" s="524"/>
      <x:c r="C155" s="524"/>
      <x:c r="D155" s="524"/>
      <x:c r="E155" s="524"/>
      <x:c r="F155" s="551" t="n"/>
      <x:c r="G155" s="524"/>
      <x:c r="H155" s="524"/>
      <x:c r="I155" s="524"/>
      <x:c r="J155" s="524"/>
    </x:row>
    <x:row r="156">
      <x:c r="A156" s="538" t="n"/>
      <x:c r="B156" s="524"/>
      <x:c r="C156" s="524"/>
      <x:c r="D156" s="524"/>
      <x:c r="E156" s="524"/>
      <x:c r="F156" s="551" t="n"/>
      <x:c r="G156" s="524"/>
      <x:c r="H156" s="524"/>
      <x:c r="I156" s="524"/>
      <x:c r="J156" s="524"/>
    </x:row>
    <x:row r="157">
      <x:c r="A157" s="538" t="n"/>
      <x:c r="B157" s="524"/>
      <x:c r="C157" s="524"/>
      <x:c r="D157" s="524"/>
      <x:c r="E157" s="524"/>
      <x:c r="F157" s="551" t="n"/>
      <x:c r="G157" s="524"/>
      <x:c r="H157" s="524"/>
      <x:c r="I157" s="524"/>
      <x:c r="J157" s="524"/>
    </x:row>
    <x:row r="158">
      <x:c r="A158" s="538" t="n"/>
      <x:c r="B158" s="524"/>
      <x:c r="C158" s="524"/>
      <x:c r="D158" s="524"/>
      <x:c r="E158" s="524"/>
      <x:c r="F158" s="551" t="n"/>
      <x:c r="G158" s="524"/>
      <x:c r="H158" s="524"/>
      <x:c r="I158" s="524"/>
      <x:c r="J158" s="524"/>
    </x:row>
    <x:row r="159">
      <x:c r="A159" s="538" t="n"/>
      <x:c r="B159" s="524"/>
      <x:c r="C159" s="524"/>
      <x:c r="D159" s="524"/>
      <x:c r="E159" s="524"/>
      <x:c r="F159" s="551" t="n"/>
      <x:c r="G159" s="524"/>
      <x:c r="H159" s="524"/>
      <x:c r="I159" s="524"/>
      <x:c r="J159" s="524"/>
    </x:row>
    <x:row r="160">
      <x:c r="A160" s="538" t="n"/>
      <x:c r="B160" s="524"/>
      <x:c r="C160" s="524"/>
      <x:c r="D160" s="524"/>
      <x:c r="E160" s="524"/>
      <x:c r="F160" s="551" t="n"/>
      <x:c r="G160" s="524"/>
      <x:c r="H160" s="524"/>
      <x:c r="I160" s="524"/>
      <x:c r="J160" s="524"/>
    </x:row>
    <x:row r="161">
      <x:c r="A161" s="538" t="n"/>
      <x:c r="B161" s="524"/>
      <x:c r="C161" s="524"/>
      <x:c r="D161" s="524"/>
      <x:c r="E161" s="524"/>
      <x:c r="F161" s="551" t="n"/>
      <x:c r="G161" s="524"/>
      <x:c r="H161" s="524"/>
      <x:c r="I161" s="524"/>
      <x:c r="J161" s="524"/>
    </x:row>
    <x:row r="162">
      <x:c r="A162" s="538" t="n"/>
      <x:c r="B162" s="524"/>
      <x:c r="C162" s="524"/>
      <x:c r="D162" s="524"/>
      <x:c r="E162" s="524"/>
      <x:c r="F162" s="551" t="n"/>
      <x:c r="G162" s="524"/>
      <x:c r="H162" s="524"/>
      <x:c r="I162" s="524"/>
      <x:c r="J162" s="524"/>
    </x:row>
    <x:row r="163">
      <x:c r="A163" s="538" t="n"/>
      <x:c r="B163" s="524"/>
      <x:c r="C163" s="524"/>
      <x:c r="D163" s="524"/>
      <x:c r="E163" s="524"/>
      <x:c r="F163" s="551" t="n"/>
      <x:c r="G163" s="524"/>
      <x:c r="H163" s="524"/>
      <x:c r="I163" s="524"/>
      <x:c r="J163" s="524"/>
    </x:row>
    <x:row r="164">
      <x:c r="A164" s="538" t="n"/>
      <x:c r="B164" s="524"/>
      <x:c r="C164" s="524"/>
      <x:c r="D164" s="524"/>
      <x:c r="E164" s="524"/>
      <x:c r="F164" s="551" t="n"/>
      <x:c r="G164" s="524"/>
      <x:c r="H164" s="524"/>
      <x:c r="I164" s="524"/>
      <x:c r="J164" s="524"/>
    </x:row>
    <x:row r="165">
      <x:c r="A165" s="538" t="n"/>
      <x:c r="B165" s="524"/>
      <x:c r="C165" s="524"/>
      <x:c r="D165" s="524"/>
      <x:c r="E165" s="524"/>
      <x:c r="F165" s="551" t="n"/>
      <x:c r="G165" s="524"/>
      <x:c r="H165" s="524"/>
      <x:c r="I165" s="524"/>
      <x:c r="J165" s="524"/>
    </x:row>
    <x:row r="166">
      <x:c r="A166" s="538" t="n"/>
      <x:c r="B166" s="524"/>
      <x:c r="C166" s="524"/>
      <x:c r="D166" s="524"/>
      <x:c r="E166" s="524"/>
      <x:c r="F166" s="551" t="n"/>
      <x:c r="G166" s="524"/>
      <x:c r="H166" s="524"/>
      <x:c r="I166" s="524"/>
      <x:c r="J166" s="524"/>
    </x:row>
    <x:row r="167">
      <x:c r="A167" s="538" t="n"/>
      <x:c r="B167" s="524"/>
      <x:c r="C167" s="524"/>
      <x:c r="D167" s="524"/>
      <x:c r="E167" s="524"/>
      <x:c r="F167" s="551" t="n"/>
      <x:c r="G167" s="524"/>
      <x:c r="H167" s="524"/>
      <x:c r="I167" s="524"/>
      <x:c r="J167" s="524"/>
    </x:row>
    <x:row r="168">
      <x:c r="A168" s="538" t="n"/>
      <x:c r="B168" s="524"/>
      <x:c r="C168" s="524"/>
      <x:c r="D168" s="524"/>
      <x:c r="E168" s="524"/>
      <x:c r="F168" s="551" t="n"/>
      <x:c r="G168" s="524"/>
      <x:c r="H168" s="524"/>
      <x:c r="I168" s="524"/>
      <x:c r="J168" s="524"/>
    </x:row>
    <x:row r="169">
      <x:c r="A169" s="538" t="n"/>
      <x:c r="B169" s="524"/>
      <x:c r="C169" s="524"/>
      <x:c r="D169" s="524"/>
      <x:c r="E169" s="524"/>
      <x:c r="F169" s="551" t="n"/>
      <x:c r="G169" s="524"/>
      <x:c r="H169" s="524"/>
      <x:c r="I169" s="524"/>
      <x:c r="J169" s="524"/>
    </x:row>
    <x:row r="170">
      <x:c r="A170" s="538" t="n"/>
      <x:c r="B170" s="524"/>
      <x:c r="C170" s="524"/>
      <x:c r="D170" s="524"/>
      <x:c r="E170" s="524"/>
      <x:c r="F170" s="551" t="n"/>
      <x:c r="G170" s="524"/>
      <x:c r="H170" s="524"/>
      <x:c r="I170" s="524"/>
      <x:c r="J170" s="524"/>
    </x:row>
    <x:row r="171">
      <x:c r="A171" s="538" t="n"/>
      <x:c r="B171" s="524"/>
      <x:c r="C171" s="524"/>
      <x:c r="D171" s="524"/>
      <x:c r="E171" s="524"/>
      <x:c r="F171" s="551" t="n"/>
      <x:c r="G171" s="524"/>
      <x:c r="H171" s="524"/>
      <x:c r="I171" s="524"/>
      <x:c r="J171" s="524"/>
    </x:row>
    <x:row r="172">
      <x:c r="A172" s="538" t="n"/>
      <x:c r="B172" s="524"/>
      <x:c r="C172" s="524"/>
      <x:c r="D172" s="524"/>
      <x:c r="E172" s="524"/>
      <x:c r="F172" s="551" t="n"/>
      <x:c r="G172" s="524"/>
      <x:c r="H172" s="524"/>
      <x:c r="I172" s="524"/>
      <x:c r="J172" s="524"/>
    </x:row>
    <x:row r="173">
      <x:c r="A173" s="538" t="n"/>
      <x:c r="B173" s="524"/>
      <x:c r="C173" s="524"/>
      <x:c r="D173" s="524"/>
      <x:c r="E173" s="524"/>
      <x:c r="F173" s="551" t="n"/>
      <x:c r="G173" s="524"/>
      <x:c r="H173" s="524"/>
      <x:c r="I173" s="524"/>
      <x:c r="J173" s="524"/>
    </x:row>
    <x:row r="174">
      <x:c r="A174" s="538" t="n"/>
      <x:c r="B174" s="524"/>
      <x:c r="C174" s="524"/>
      <x:c r="D174" s="524"/>
      <x:c r="E174" s="524"/>
      <x:c r="F174" s="551" t="n"/>
      <x:c r="G174" s="524"/>
      <x:c r="H174" s="524"/>
      <x:c r="I174" s="524"/>
      <x:c r="J174" s="524"/>
    </x:row>
    <x:row r="175">
      <x:c r="A175" s="538" t="n"/>
      <x:c r="B175" s="524"/>
      <x:c r="C175" s="524"/>
      <x:c r="D175" s="524"/>
      <x:c r="E175" s="524"/>
      <x:c r="F175" s="551" t="n"/>
      <x:c r="G175" s="524"/>
      <x:c r="H175" s="524"/>
      <x:c r="I175" s="524"/>
      <x:c r="J175" s="524"/>
    </x:row>
    <x:row r="176">
      <x:c r="A176" s="538" t="n"/>
      <x:c r="B176" s="524"/>
      <x:c r="C176" s="524"/>
      <x:c r="D176" s="524"/>
      <x:c r="E176" s="524"/>
      <x:c r="F176" s="551" t="n"/>
      <x:c r="G176" s="524"/>
      <x:c r="H176" s="524"/>
      <x:c r="I176" s="524"/>
      <x:c r="J176" s="524"/>
    </x:row>
    <x:row r="177">
      <x:c r="A177" s="538" t="n"/>
      <x:c r="B177" s="524"/>
      <x:c r="C177" s="524"/>
      <x:c r="D177" s="524"/>
      <x:c r="E177" s="524"/>
      <x:c r="F177" s="551" t="n"/>
      <x:c r="G177" s="524"/>
      <x:c r="H177" s="524"/>
      <x:c r="I177" s="524"/>
      <x:c r="J177" s="524"/>
    </x:row>
    <x:row r="178">
      <x:c r="A178" s="538" t="n"/>
      <x:c r="B178" s="524"/>
      <x:c r="C178" s="524"/>
      <x:c r="D178" s="524"/>
      <x:c r="E178" s="524"/>
      <x:c r="F178" s="551" t="n"/>
      <x:c r="G178" s="524"/>
      <x:c r="H178" s="524"/>
      <x:c r="I178" s="524"/>
      <x:c r="J178" s="524"/>
    </x:row>
    <x:row r="179">
      <x:c r="A179" s="538" t="n"/>
      <x:c r="B179" s="524"/>
      <x:c r="C179" s="524"/>
      <x:c r="D179" s="524"/>
      <x:c r="E179" s="524"/>
      <x:c r="F179" s="551" t="n"/>
      <x:c r="G179" s="524"/>
      <x:c r="H179" s="524"/>
      <x:c r="I179" s="524"/>
      <x:c r="J179" s="524"/>
    </x:row>
    <x:row r="180">
      <x:c r="A180" s="538" t="n"/>
      <x:c r="B180" s="524"/>
      <x:c r="C180" s="524"/>
      <x:c r="D180" s="524"/>
      <x:c r="E180" s="524"/>
      <x:c r="F180" s="551" t="n"/>
      <x:c r="G180" s="524"/>
      <x:c r="H180" s="524"/>
      <x:c r="I180" s="524"/>
      <x:c r="J180" s="524"/>
    </x:row>
    <x:row r="181">
      <x:c r="A181" s="538" t="n"/>
      <x:c r="B181" s="524"/>
      <x:c r="C181" s="524"/>
      <x:c r="D181" s="524"/>
      <x:c r="E181" s="524"/>
      <x:c r="F181" s="551" t="n"/>
      <x:c r="G181" s="524"/>
      <x:c r="H181" s="524"/>
      <x:c r="I181" s="524"/>
      <x:c r="J181" s="524"/>
    </x:row>
    <x:row r="182">
      <x:c r="A182" s="538" t="n"/>
      <x:c r="B182" s="524"/>
      <x:c r="C182" s="524"/>
      <x:c r="D182" s="524"/>
      <x:c r="E182" s="524"/>
      <x:c r="F182" s="551" t="n"/>
      <x:c r="G182" s="524"/>
      <x:c r="H182" s="524"/>
      <x:c r="I182" s="524"/>
      <x:c r="J182" s="524"/>
    </x:row>
    <x:row r="183">
      <x:c r="A183" s="538" t="n"/>
      <x:c r="B183" s="524"/>
      <x:c r="C183" s="524"/>
      <x:c r="D183" s="524"/>
      <x:c r="E183" s="524"/>
      <x:c r="F183" s="551" t="n"/>
      <x:c r="G183" s="524"/>
      <x:c r="H183" s="524"/>
      <x:c r="I183" s="524"/>
      <x:c r="J183" s="524"/>
    </x:row>
    <x:row r="184">
      <x:c r="A184" s="538" t="n"/>
      <x:c r="B184" s="524"/>
      <x:c r="C184" s="524"/>
      <x:c r="D184" s="524"/>
      <x:c r="E184" s="524"/>
      <x:c r="F184" s="551" t="n"/>
      <x:c r="G184" s="524"/>
      <x:c r="H184" s="524"/>
      <x:c r="I184" s="524"/>
      <x:c r="J184" s="524"/>
    </x:row>
    <x:row r="185">
      <x:c r="A185" s="538" t="n"/>
      <x:c r="B185" s="524"/>
      <x:c r="C185" s="524"/>
      <x:c r="D185" s="524"/>
      <x:c r="E185" s="524"/>
      <x:c r="F185" s="551" t="n"/>
      <x:c r="G185" s="524"/>
      <x:c r="H185" s="524"/>
      <x:c r="I185" s="524"/>
      <x:c r="J185" s="524"/>
    </x:row>
    <x:row r="186">
      <x:c r="A186" s="538" t="n"/>
      <x:c r="B186" s="524"/>
      <x:c r="C186" s="524"/>
      <x:c r="D186" s="524"/>
      <x:c r="E186" s="524"/>
      <x:c r="F186" s="551" t="n"/>
      <x:c r="G186" s="524"/>
      <x:c r="H186" s="524"/>
      <x:c r="I186" s="524"/>
      <x:c r="J186" s="524"/>
    </x:row>
    <x:row r="187">
      <x:c r="A187" s="538" t="n"/>
      <x:c r="B187" s="524"/>
      <x:c r="C187" s="524"/>
      <x:c r="D187" s="524"/>
      <x:c r="E187" s="524"/>
      <x:c r="F187" s="551" t="n"/>
      <x:c r="G187" s="524"/>
      <x:c r="H187" s="524"/>
      <x:c r="I187" s="524"/>
      <x:c r="J187" s="524"/>
    </x:row>
    <x:row r="188">
      <x:c r="A188" s="538" t="n"/>
      <x:c r="B188" s="524"/>
      <x:c r="C188" s="524"/>
      <x:c r="D188" s="524"/>
      <x:c r="E188" s="524"/>
      <x:c r="F188" s="551" t="n"/>
      <x:c r="G188" s="524"/>
      <x:c r="H188" s="524"/>
      <x:c r="I188" s="524"/>
      <x:c r="J188" s="524"/>
    </x:row>
    <x:row r="189">
      <x:c r="A189" s="538" t="n"/>
      <x:c r="B189" s="524"/>
      <x:c r="C189" s="524"/>
      <x:c r="D189" s="524"/>
      <x:c r="E189" s="524"/>
      <x:c r="F189" s="551" t="n"/>
      <x:c r="G189" s="524"/>
      <x:c r="H189" s="524"/>
      <x:c r="I189" s="524"/>
      <x:c r="J189" s="524"/>
    </x:row>
    <x:row r="190">
      <x:c r="A190" s="538" t="n"/>
      <x:c r="B190" s="524"/>
      <x:c r="C190" s="524"/>
      <x:c r="D190" s="524"/>
      <x:c r="E190" s="524"/>
      <x:c r="F190" s="551" t="n"/>
      <x:c r="G190" s="524"/>
      <x:c r="H190" s="524"/>
      <x:c r="I190" s="524"/>
      <x:c r="J190" s="524"/>
    </x:row>
    <x:row r="191">
      <x:c r="A191" s="538" t="n"/>
      <x:c r="B191" s="524"/>
      <x:c r="C191" s="524"/>
      <x:c r="D191" s="524"/>
      <x:c r="E191" s="524"/>
      <x:c r="F191" s="551" t="n"/>
      <x:c r="G191" s="524"/>
      <x:c r="H191" s="524"/>
      <x:c r="I191" s="524"/>
      <x:c r="J191" s="524"/>
    </x:row>
    <x:row r="192">
      <x:c r="A192" s="538" t="n"/>
      <x:c r="B192" s="524"/>
      <x:c r="C192" s="524"/>
      <x:c r="D192" s="524"/>
      <x:c r="E192" s="524"/>
      <x:c r="F192" s="551" t="n"/>
      <x:c r="G192" s="524"/>
      <x:c r="H192" s="524"/>
      <x:c r="I192" s="524"/>
      <x:c r="J192" s="524"/>
    </x:row>
    <x:row r="193">
      <x:c r="A193" s="538" t="n"/>
      <x:c r="B193" s="524"/>
      <x:c r="C193" s="524"/>
      <x:c r="D193" s="524"/>
      <x:c r="E193" s="524"/>
      <x:c r="F193" s="551" t="n"/>
      <x:c r="G193" s="524"/>
      <x:c r="H193" s="524"/>
      <x:c r="I193" s="524"/>
      <x:c r="J193" s="524"/>
    </x:row>
    <x:row r="194">
      <x:c r="A194" s="538" t="n"/>
      <x:c r="B194" s="524"/>
      <x:c r="C194" s="524"/>
      <x:c r="D194" s="524"/>
      <x:c r="E194" s="524"/>
      <x:c r="F194" s="551" t="n"/>
      <x:c r="G194" s="524"/>
      <x:c r="H194" s="524"/>
      <x:c r="I194" s="524"/>
      <x:c r="J194" s="524"/>
    </x:row>
    <x:row r="195">
      <x:c r="A195" s="538" t="n"/>
      <x:c r="B195" s="524"/>
      <x:c r="C195" s="524"/>
      <x:c r="D195" s="524"/>
      <x:c r="E195" s="524"/>
      <x:c r="F195" s="551" t="n"/>
      <x:c r="G195" s="524"/>
      <x:c r="H195" s="524"/>
      <x:c r="I195" s="524"/>
      <x:c r="J195" s="524"/>
    </x:row>
    <x:row r="196">
      <x:c r="A196" s="538" t="n"/>
      <x:c r="B196" s="524"/>
      <x:c r="C196" s="524"/>
      <x:c r="D196" s="524"/>
      <x:c r="E196" s="524"/>
      <x:c r="F196" s="551" t="n"/>
      <x:c r="G196" s="524"/>
      <x:c r="H196" s="524"/>
      <x:c r="I196" s="524"/>
      <x:c r="J196" s="524"/>
    </x:row>
    <x:row r="197">
      <x:c r="A197" s="538" t="n"/>
      <x:c r="B197" s="524"/>
      <x:c r="C197" s="524"/>
      <x:c r="D197" s="524"/>
      <x:c r="E197" s="524"/>
      <x:c r="F197" s="551" t="n"/>
      <x:c r="G197" s="524"/>
      <x:c r="H197" s="524"/>
      <x:c r="I197" s="524"/>
      <x:c r="J197" s="524"/>
    </x:row>
    <x:row r="198">
      <x:c r="A198" s="538" t="n"/>
      <x:c r="B198" s="524"/>
      <x:c r="C198" s="524"/>
      <x:c r="D198" s="524"/>
      <x:c r="E198" s="524"/>
      <x:c r="F198" s="551" t="n"/>
      <x:c r="G198" s="524"/>
      <x:c r="H198" s="524"/>
      <x:c r="I198" s="524"/>
      <x:c r="J198" s="524"/>
    </x:row>
    <x:row r="199">
      <x:c r="A199" s="538" t="n"/>
      <x:c r="B199" s="524"/>
      <x:c r="C199" s="524"/>
      <x:c r="D199" s="524"/>
      <x:c r="E199" s="524"/>
      <x:c r="F199" s="551" t="n"/>
      <x:c r="G199" s="524"/>
      <x:c r="H199" s="524"/>
      <x:c r="I199" s="524"/>
      <x:c r="J199" s="524"/>
    </x:row>
    <x:row r="200">
      <x:c r="A200" s="538" t="n"/>
      <x:c r="B200" s="524"/>
      <x:c r="C200" s="524"/>
      <x:c r="D200" s="524"/>
      <x:c r="E200" s="524"/>
      <x:c r="F200" s="551" t="n"/>
      <x:c r="G200" s="524"/>
      <x:c r="H200" s="524"/>
      <x:c r="I200" s="524"/>
      <x:c r="J200" s="524"/>
    </x:row>
    <x:row r="201">
      <x:c r="A201" s="538" t="n"/>
      <x:c r="B201" s="524"/>
      <x:c r="C201" s="524"/>
      <x:c r="D201" s="524"/>
      <x:c r="E201" s="524"/>
      <x:c r="F201" s="551" t="n"/>
      <x:c r="G201" s="524"/>
      <x:c r="H201" s="524"/>
      <x:c r="I201" s="524"/>
      <x:c r="J201" s="524"/>
    </x:row>
    <x:row r="202">
      <x:c r="A202" s="538" t="n"/>
      <x:c r="B202" s="524"/>
      <x:c r="C202" s="524"/>
      <x:c r="D202" s="524"/>
      <x:c r="E202" s="524"/>
      <x:c r="F202" s="551" t="n"/>
      <x:c r="G202" s="524"/>
      <x:c r="H202" s="524"/>
      <x:c r="I202" s="524"/>
      <x:c r="J202" s="524"/>
    </x:row>
    <x:row r="203">
      <x:c r="A203" s="538" t="n"/>
      <x:c r="B203" s="524"/>
      <x:c r="C203" s="524"/>
      <x:c r="D203" s="524"/>
      <x:c r="E203" s="524"/>
      <x:c r="F203" s="551" t="n"/>
      <x:c r="G203" s="524"/>
      <x:c r="H203" s="524"/>
      <x:c r="I203" s="524"/>
      <x:c r="J203" s="524"/>
    </x:row>
    <x:row r="204">
      <x:c r="A204" s="538" t="n"/>
      <x:c r="B204" s="524"/>
      <x:c r="C204" s="524"/>
      <x:c r="D204" s="524"/>
      <x:c r="E204" s="524"/>
      <x:c r="F204" s="551" t="n"/>
      <x:c r="G204" s="524"/>
      <x:c r="H204" s="524"/>
      <x:c r="I204" s="524"/>
      <x:c r="J204" s="524"/>
    </x:row>
    <x:row r="205">
      <x:c r="A205" s="538" t="n"/>
      <x:c r="B205" s="524"/>
      <x:c r="C205" s="524"/>
      <x:c r="D205" s="524"/>
      <x:c r="E205" s="524"/>
      <x:c r="F205" s="551" t="n"/>
      <x:c r="G205" s="524"/>
      <x:c r="H205" s="524"/>
      <x:c r="I205" s="524"/>
      <x:c r="J205" s="524"/>
    </x:row>
    <x:row r="206">
      <x:c r="A206" s="538" t="n"/>
      <x:c r="B206" s="524"/>
      <x:c r="C206" s="524"/>
      <x:c r="D206" s="524"/>
      <x:c r="E206" s="524"/>
      <x:c r="F206" s="551" t="n"/>
      <x:c r="G206" s="524"/>
      <x:c r="H206" s="524"/>
      <x:c r="I206" s="524"/>
      <x:c r="J206" s="524"/>
    </x:row>
    <x:row r="207">
      <x:c r="A207" s="538" t="n"/>
      <x:c r="B207" s="524"/>
      <x:c r="C207" s="524"/>
      <x:c r="D207" s="524"/>
      <x:c r="E207" s="524"/>
      <x:c r="F207" s="551" t="n"/>
      <x:c r="G207" s="524"/>
      <x:c r="H207" s="524"/>
      <x:c r="I207" s="524"/>
      <x:c r="J207" s="524"/>
    </x:row>
    <x:row r="208">
      <x:c r="A208" s="538" t="n"/>
      <x:c r="B208" s="524"/>
      <x:c r="C208" s="524"/>
      <x:c r="D208" s="524"/>
      <x:c r="E208" s="524"/>
      <x:c r="F208" s="551" t="n"/>
      <x:c r="G208" s="524"/>
      <x:c r="H208" s="524"/>
      <x:c r="I208" s="524"/>
      <x:c r="J208" s="524"/>
    </x:row>
    <x:row r="209">
      <x:c r="A209" s="538" t="n"/>
      <x:c r="B209" s="524"/>
      <x:c r="C209" s="524"/>
      <x:c r="D209" s="524"/>
      <x:c r="E209" s="524"/>
      <x:c r="F209" s="551" t="n"/>
      <x:c r="G209" s="524"/>
      <x:c r="H209" s="524"/>
      <x:c r="I209" s="524"/>
      <x:c r="J209" s="524"/>
    </x:row>
    <x:row r="210">
      <x:c r="A210" s="538" t="n"/>
      <x:c r="B210" s="524"/>
      <x:c r="C210" s="524"/>
      <x:c r="D210" s="524"/>
      <x:c r="E210" s="524"/>
      <x:c r="F210" s="551" t="n"/>
      <x:c r="G210" s="524"/>
      <x:c r="H210" s="524"/>
      <x:c r="I210" s="524"/>
      <x:c r="J210" s="524"/>
    </x:row>
    <x:row r="211">
      <x:c r="A211" s="538" t="n"/>
      <x:c r="B211" s="524"/>
      <x:c r="C211" s="524"/>
      <x:c r="D211" s="524"/>
      <x:c r="E211" s="524"/>
      <x:c r="F211" s="551" t="n"/>
      <x:c r="G211" s="524"/>
      <x:c r="H211" s="524"/>
      <x:c r="I211" s="524"/>
      <x:c r="J211" s="524"/>
    </x:row>
    <x:row r="212">
      <x:c r="A212" s="538" t="n"/>
      <x:c r="B212" s="524"/>
      <x:c r="C212" s="524"/>
      <x:c r="D212" s="524"/>
      <x:c r="E212" s="524"/>
      <x:c r="F212" s="551" t="n"/>
      <x:c r="G212" s="524"/>
      <x:c r="H212" s="524"/>
      <x:c r="I212" s="524"/>
      <x:c r="J212" s="524"/>
    </x:row>
    <x:row r="213">
      <x:c r="A213" s="538" t="n"/>
      <x:c r="B213" s="524"/>
      <x:c r="C213" s="524"/>
      <x:c r="D213" s="524"/>
      <x:c r="E213" s="524"/>
      <x:c r="F213" s="551" t="n"/>
      <x:c r="G213" s="524"/>
      <x:c r="H213" s="524"/>
      <x:c r="I213" s="524"/>
      <x:c r="J213" s="524"/>
    </x:row>
    <x:row r="214">
      <x:c r="A214" s="538" t="n"/>
      <x:c r="B214" s="524"/>
      <x:c r="C214" s="524"/>
      <x:c r="D214" s="524"/>
      <x:c r="E214" s="524"/>
      <x:c r="F214" s="551" t="n"/>
      <x:c r="G214" s="524"/>
      <x:c r="H214" s="524"/>
      <x:c r="I214" s="524"/>
      <x:c r="J214" s="524"/>
    </x:row>
    <x:row r="215">
      <x:c r="A215" s="538" t="n"/>
      <x:c r="B215" s="524"/>
      <x:c r="C215" s="524"/>
      <x:c r="D215" s="524"/>
      <x:c r="E215" s="524"/>
      <x:c r="F215" s="551" t="n"/>
      <x:c r="G215" s="524"/>
      <x:c r="H215" s="524"/>
      <x:c r="I215" s="524"/>
      <x:c r="J215" s="524"/>
    </x:row>
    <x:row r="216">
      <x:c r="A216" s="538" t="n"/>
      <x:c r="B216" s="524"/>
      <x:c r="C216" s="524"/>
      <x:c r="D216" s="524"/>
      <x:c r="E216" s="524"/>
      <x:c r="F216" s="551" t="n"/>
      <x:c r="G216" s="524"/>
      <x:c r="H216" s="524"/>
      <x:c r="I216" s="524"/>
      <x:c r="J216" s="524"/>
    </x:row>
    <x:row r="217">
      <x:c r="A217" s="538" t="n"/>
      <x:c r="B217" s="524"/>
      <x:c r="C217" s="524"/>
      <x:c r="D217" s="524"/>
      <x:c r="E217" s="524"/>
      <x:c r="F217" s="551" t="n"/>
      <x:c r="G217" s="524"/>
      <x:c r="H217" s="524"/>
      <x:c r="I217" s="524"/>
      <x:c r="J217" s="524"/>
    </x:row>
    <x:row r="218">
      <x:c r="A218" s="538" t="n"/>
      <x:c r="B218" s="524"/>
      <x:c r="C218" s="524"/>
      <x:c r="D218" s="524"/>
      <x:c r="E218" s="524"/>
      <x:c r="F218" s="551" t="n"/>
      <x:c r="G218" s="524"/>
      <x:c r="H218" s="524"/>
      <x:c r="I218" s="524"/>
      <x:c r="J218" s="524"/>
    </x:row>
    <x:row r="219">
      <x:c r="A219" s="538" t="n"/>
      <x:c r="B219" s="524"/>
      <x:c r="C219" s="524"/>
      <x:c r="D219" s="524"/>
      <x:c r="E219" s="524"/>
      <x:c r="F219" s="551" t="n"/>
      <x:c r="G219" s="524"/>
      <x:c r="H219" s="524"/>
      <x:c r="I219" s="524"/>
      <x:c r="J219" s="524"/>
    </x:row>
    <x:row r="220">
      <x:c r="A220" s="538" t="n"/>
      <x:c r="B220" s="524"/>
      <x:c r="C220" s="524"/>
      <x:c r="D220" s="524"/>
      <x:c r="E220" s="524"/>
      <x:c r="F220" s="551" t="n"/>
      <x:c r="G220" s="524"/>
      <x:c r="H220" s="524"/>
      <x:c r="I220" s="524"/>
      <x:c r="J220" s="524"/>
    </x:row>
    <x:row r="221">
      <x:c r="A221" s="538" t="n"/>
      <x:c r="B221" s="524"/>
      <x:c r="C221" s="524"/>
      <x:c r="D221" s="524"/>
      <x:c r="E221" s="524"/>
      <x:c r="F221" s="551" t="n"/>
      <x:c r="G221" s="524"/>
      <x:c r="H221" s="524"/>
      <x:c r="I221" s="524"/>
      <x:c r="J221" s="524"/>
    </x:row>
    <x:row r="222">
      <x:c r="A222" s="538" t="n"/>
      <x:c r="B222" s="524"/>
      <x:c r="C222" s="524"/>
      <x:c r="D222" s="524"/>
      <x:c r="E222" s="524"/>
      <x:c r="F222" s="551" t="n"/>
      <x:c r="G222" s="524"/>
      <x:c r="H222" s="524"/>
      <x:c r="I222" s="524"/>
      <x:c r="J222" s="524"/>
    </x:row>
    <x:row r="223">
      <x:c r="A223" s="538" t="n"/>
      <x:c r="B223" s="524"/>
      <x:c r="C223" s="524"/>
      <x:c r="D223" s="524"/>
      <x:c r="E223" s="524"/>
      <x:c r="F223" s="551" t="n"/>
      <x:c r="G223" s="524"/>
      <x:c r="H223" s="524"/>
      <x:c r="I223" s="524"/>
      <x:c r="J223" s="524"/>
    </x:row>
    <x:row r="224">
      <x:c r="A224" s="538" t="n"/>
      <x:c r="B224" s="524"/>
      <x:c r="C224" s="524"/>
      <x:c r="D224" s="524"/>
      <x:c r="E224" s="524"/>
      <x:c r="F224" s="551" t="n"/>
      <x:c r="G224" s="524"/>
      <x:c r="H224" s="524"/>
      <x:c r="I224" s="524"/>
      <x:c r="J224" s="524"/>
    </x:row>
    <x:row r="225">
      <x:c r="A225" s="538" t="n"/>
      <x:c r="B225" s="524"/>
      <x:c r="C225" s="524"/>
      <x:c r="D225" s="524"/>
      <x:c r="E225" s="524"/>
      <x:c r="F225" s="551" t="n"/>
      <x:c r="G225" s="524"/>
      <x:c r="H225" s="524"/>
      <x:c r="I225" s="524"/>
      <x:c r="J225" s="524"/>
    </x:row>
    <x:row r="226">
      <x:c r="A226" s="538" t="n"/>
      <x:c r="B226" s="524"/>
      <x:c r="C226" s="524"/>
      <x:c r="D226" s="524"/>
      <x:c r="E226" s="524"/>
      <x:c r="F226" s="551" t="n"/>
      <x:c r="G226" s="524"/>
      <x:c r="H226" s="524"/>
      <x:c r="I226" s="524"/>
      <x:c r="J226" s="524"/>
    </x:row>
    <x:row r="227">
      <x:c r="A227" s="538" t="n"/>
      <x:c r="B227" s="524"/>
      <x:c r="C227" s="524"/>
      <x:c r="D227" s="524"/>
      <x:c r="E227" s="524"/>
      <x:c r="F227" s="551" t="n"/>
      <x:c r="G227" s="524"/>
      <x:c r="H227" s="524"/>
      <x:c r="I227" s="524"/>
      <x:c r="J227" s="524"/>
    </x:row>
    <x:row r="228">
      <x:c r="A228" s="538" t="n"/>
      <x:c r="B228" s="524"/>
      <x:c r="C228" s="524"/>
      <x:c r="D228" s="524"/>
      <x:c r="E228" s="524"/>
      <x:c r="F228" s="551" t="n"/>
      <x:c r="G228" s="524"/>
      <x:c r="H228" s="524"/>
      <x:c r="I228" s="524"/>
      <x:c r="J228" s="524"/>
    </x:row>
    <x:row r="229">
      <x:c r="A229" s="538" t="n"/>
      <x:c r="B229" s="524"/>
      <x:c r="C229" s="524"/>
      <x:c r="D229" s="524"/>
      <x:c r="E229" s="524"/>
      <x:c r="F229" s="551" t="n"/>
      <x:c r="G229" s="524"/>
      <x:c r="H229" s="524"/>
      <x:c r="I229" s="524"/>
      <x:c r="J229" s="524"/>
    </x:row>
    <x:row r="230">
      <x:c r="A230" s="538" t="n"/>
      <x:c r="B230" s="524"/>
      <x:c r="C230" s="524"/>
      <x:c r="D230" s="524"/>
      <x:c r="E230" s="524"/>
      <x:c r="F230" s="551" t="n"/>
      <x:c r="G230" s="524"/>
      <x:c r="H230" s="524"/>
      <x:c r="I230" s="524"/>
      <x:c r="J230" s="524"/>
    </x:row>
    <x:row r="231">
      <x:c r="A231" s="538" t="n"/>
      <x:c r="B231" s="524"/>
      <x:c r="C231" s="524"/>
      <x:c r="D231" s="524"/>
      <x:c r="E231" s="524"/>
      <x:c r="F231" s="551" t="n"/>
      <x:c r="G231" s="524"/>
      <x:c r="H231" s="524"/>
      <x:c r="I231" s="524"/>
      <x:c r="J231" s="524"/>
    </x:row>
    <x:row r="232">
      <x:c r="A232" s="538" t="n"/>
      <x:c r="B232" s="524"/>
      <x:c r="C232" s="524"/>
      <x:c r="D232" s="524"/>
      <x:c r="E232" s="524"/>
      <x:c r="F232" s="551" t="n"/>
      <x:c r="G232" s="524"/>
      <x:c r="H232" s="524"/>
      <x:c r="I232" s="524"/>
      <x:c r="J232" s="524"/>
    </x:row>
    <x:row r="233">
      <x:c r="A233" s="538" t="n"/>
      <x:c r="B233" s="524"/>
      <x:c r="C233" s="524"/>
      <x:c r="D233" s="524"/>
      <x:c r="E233" s="524"/>
      <x:c r="F233" s="551" t="n"/>
      <x:c r="G233" s="524"/>
      <x:c r="H233" s="524"/>
      <x:c r="I233" s="524"/>
      <x:c r="J233" s="524"/>
    </x:row>
    <x:row r="234">
      <x:c r="A234" s="538" t="n"/>
      <x:c r="B234" s="524"/>
      <x:c r="C234" s="524"/>
      <x:c r="D234" s="524"/>
      <x:c r="E234" s="524"/>
      <x:c r="F234" s="551" t="n"/>
      <x:c r="G234" s="524"/>
      <x:c r="H234" s="524"/>
      <x:c r="I234" s="524"/>
      <x:c r="J234" s="524"/>
    </x:row>
    <x:row r="235">
      <x:c r="A235" s="538" t="n"/>
      <x:c r="B235" s="524"/>
      <x:c r="C235" s="524"/>
      <x:c r="D235" s="524"/>
      <x:c r="E235" s="524"/>
      <x:c r="F235" s="551" t="n"/>
      <x:c r="G235" s="524"/>
      <x:c r="H235" s="524"/>
      <x:c r="I235" s="524"/>
      <x:c r="J235" s="524"/>
    </x:row>
    <x:row r="236">
      <x:c r="A236" s="538" t="n"/>
      <x:c r="B236" s="524"/>
      <x:c r="C236" s="524"/>
      <x:c r="D236" s="524"/>
      <x:c r="E236" s="524"/>
      <x:c r="F236" s="551" t="n"/>
      <x:c r="G236" s="524"/>
      <x:c r="H236" s="524"/>
      <x:c r="I236" s="524"/>
      <x:c r="J236" s="524"/>
    </x:row>
    <x:row r="237">
      <x:c r="A237" s="538" t="n"/>
      <x:c r="B237" s="524"/>
      <x:c r="C237" s="524"/>
      <x:c r="D237" s="524"/>
      <x:c r="E237" s="524"/>
      <x:c r="F237" s="551" t="n"/>
      <x:c r="G237" s="524"/>
      <x:c r="H237" s="524"/>
      <x:c r="I237" s="524"/>
      <x:c r="J237" s="524"/>
    </x:row>
    <x:row r="238">
      <x:c r="A238" s="538" t="n"/>
      <x:c r="B238" s="524"/>
      <x:c r="C238" s="524"/>
      <x:c r="D238" s="524"/>
      <x:c r="E238" s="524"/>
      <x:c r="F238" s="551" t="n"/>
      <x:c r="G238" s="524"/>
      <x:c r="H238" s="524"/>
      <x:c r="I238" s="524"/>
      <x:c r="J238" s="524"/>
    </x:row>
    <x:row r="239">
      <x:c r="A239" s="538" t="n"/>
      <x:c r="B239" s="524"/>
      <x:c r="C239" s="524"/>
      <x:c r="D239" s="524"/>
      <x:c r="E239" s="524"/>
      <x:c r="F239" s="551" t="n"/>
      <x:c r="G239" s="524"/>
      <x:c r="H239" s="524"/>
      <x:c r="I239" s="524"/>
      <x:c r="J239" s="524"/>
    </x:row>
    <x:row r="240">
      <x:c r="A240" s="538" t="n"/>
      <x:c r="B240" s="524"/>
      <x:c r="C240" s="524"/>
      <x:c r="D240" s="524"/>
      <x:c r="E240" s="524"/>
      <x:c r="F240" s="551" t="n"/>
      <x:c r="G240" s="524"/>
      <x:c r="H240" s="524"/>
      <x:c r="I240" s="524"/>
      <x:c r="J240" s="524"/>
    </x:row>
    <x:row r="241">
      <x:c r="A241" s="538" t="n"/>
      <x:c r="B241" s="524"/>
      <x:c r="C241" s="524"/>
      <x:c r="D241" s="524"/>
      <x:c r="E241" s="524"/>
      <x:c r="F241" s="551" t="n"/>
      <x:c r="G241" s="524"/>
      <x:c r="H241" s="524"/>
      <x:c r="I241" s="524"/>
      <x:c r="J241" s="524"/>
    </x:row>
    <x:row r="242">
      <x:c r="A242" s="538" t="n"/>
      <x:c r="B242" s="524"/>
      <x:c r="C242" s="524"/>
      <x:c r="D242" s="524"/>
      <x:c r="E242" s="524"/>
      <x:c r="F242" s="551" t="n"/>
      <x:c r="G242" s="524"/>
      <x:c r="H242" s="524"/>
      <x:c r="I242" s="524"/>
      <x:c r="J242" s="524"/>
    </x:row>
    <x:row r="243">
      <x:c r="A243" s="538" t="n"/>
      <x:c r="B243" s="524"/>
      <x:c r="C243" s="524"/>
      <x:c r="D243" s="524"/>
      <x:c r="E243" s="524"/>
      <x:c r="F243" s="551" t="n"/>
      <x:c r="G243" s="524"/>
      <x:c r="H243" s="524"/>
      <x:c r="I243" s="524"/>
      <x:c r="J243" s="524"/>
    </x:row>
    <x:row r="244">
      <x:c r="A244" s="538" t="n"/>
      <x:c r="B244" s="524"/>
      <x:c r="C244" s="524"/>
      <x:c r="D244" s="524"/>
      <x:c r="E244" s="524"/>
      <x:c r="F244" s="551" t="n"/>
      <x:c r="G244" s="524"/>
      <x:c r="H244" s="524"/>
      <x:c r="I244" s="524"/>
      <x:c r="J244" s="524"/>
    </x:row>
    <x:row r="245">
      <x:c r="A245" s="538" t="n"/>
      <x:c r="B245" s="524"/>
      <x:c r="C245" s="524"/>
      <x:c r="D245" s="524"/>
      <x:c r="E245" s="524"/>
      <x:c r="F245" s="551" t="n"/>
      <x:c r="G245" s="524"/>
      <x:c r="H245" s="524"/>
      <x:c r="I245" s="524"/>
      <x:c r="J245" s="524"/>
    </x:row>
    <x:row r="246">
      <x:c r="A246" s="538" t="n"/>
      <x:c r="B246" s="524"/>
      <x:c r="C246" s="524"/>
      <x:c r="D246" s="524"/>
      <x:c r="E246" s="524"/>
      <x:c r="F246" s="551" t="n"/>
      <x:c r="G246" s="524"/>
      <x:c r="H246" s="524"/>
      <x:c r="I246" s="524"/>
      <x:c r="J246" s="524"/>
    </x:row>
    <x:row r="247">
      <x:c r="A247" s="538" t="n"/>
      <x:c r="B247" s="524"/>
      <x:c r="C247" s="524"/>
      <x:c r="D247" s="524"/>
      <x:c r="E247" s="524"/>
      <x:c r="F247" s="551" t="n"/>
      <x:c r="G247" s="524"/>
      <x:c r="H247" s="524"/>
      <x:c r="I247" s="524"/>
      <x:c r="J247" s="524"/>
    </x:row>
    <x:row r="248">
      <x:c r="A248" s="538" t="n"/>
      <x:c r="B248" s="524"/>
      <x:c r="C248" s="524"/>
      <x:c r="D248" s="524"/>
      <x:c r="E248" s="524"/>
      <x:c r="F248" s="551" t="n"/>
      <x:c r="G248" s="524"/>
      <x:c r="H248" s="524"/>
      <x:c r="I248" s="524"/>
      <x:c r="J248" s="524"/>
    </x:row>
    <x:row r="249">
      <x:c r="A249" s="538" t="n"/>
      <x:c r="B249" s="524"/>
      <x:c r="C249" s="524"/>
      <x:c r="D249" s="524"/>
      <x:c r="E249" s="524"/>
      <x:c r="F249" s="551" t="n"/>
      <x:c r="G249" s="524"/>
      <x:c r="H249" s="524"/>
      <x:c r="I249" s="524"/>
      <x:c r="J249" s="524"/>
    </x:row>
    <x:row r="250">
      <x:c r="A250" s="538" t="n"/>
      <x:c r="B250" s="524"/>
      <x:c r="C250" s="524"/>
      <x:c r="D250" s="524"/>
      <x:c r="E250" s="524"/>
      <x:c r="F250" s="551" t="n"/>
      <x:c r="G250" s="524"/>
      <x:c r="H250" s="524"/>
      <x:c r="I250" s="524"/>
      <x:c r="J250" s="524"/>
    </x:row>
    <x:row r="251">
      <x:c r="A251" s="538" t="n"/>
      <x:c r="B251" s="524"/>
      <x:c r="C251" s="524"/>
      <x:c r="D251" s="524"/>
      <x:c r="E251" s="524"/>
      <x:c r="F251" s="551" t="n"/>
      <x:c r="G251" s="524"/>
      <x:c r="H251" s="524"/>
      <x:c r="I251" s="524"/>
      <x:c r="J251" s="524"/>
    </x:row>
    <x:row r="252">
      <x:c r="A252" s="538" t="n"/>
      <x:c r="B252" s="524"/>
      <x:c r="C252" s="524"/>
      <x:c r="D252" s="524"/>
      <x:c r="E252" s="524"/>
      <x:c r="F252" s="551" t="n"/>
      <x:c r="G252" s="524"/>
      <x:c r="H252" s="524"/>
      <x:c r="I252" s="524"/>
      <x:c r="J252" s="524"/>
    </x:row>
    <x:row r="253">
      <x:c r="A253" s="538" t="n"/>
      <x:c r="B253" s="524"/>
      <x:c r="C253" s="524"/>
      <x:c r="D253" s="524"/>
      <x:c r="E253" s="524"/>
      <x:c r="F253" s="551" t="n"/>
      <x:c r="G253" s="524"/>
      <x:c r="H253" s="524"/>
      <x:c r="I253" s="524"/>
      <x:c r="J253" s="524"/>
    </x:row>
    <x:row r="254">
      <x:c r="A254" s="538" t="n"/>
      <x:c r="B254" s="524"/>
      <x:c r="C254" s="524"/>
      <x:c r="D254" s="524"/>
      <x:c r="E254" s="524"/>
      <x:c r="F254" s="551" t="n"/>
      <x:c r="G254" s="524"/>
      <x:c r="H254" s="524"/>
      <x:c r="I254" s="524"/>
      <x:c r="J254" s="524"/>
    </x:row>
    <x:row r="255">
      <x:c r="A255" s="538" t="n"/>
      <x:c r="B255" s="524"/>
      <x:c r="C255" s="524"/>
      <x:c r="D255" s="524"/>
      <x:c r="E255" s="524"/>
      <x:c r="F255" s="551" t="n"/>
      <x:c r="G255" s="524"/>
      <x:c r="H255" s="524"/>
      <x:c r="I255" s="524"/>
      <x:c r="J255" s="524"/>
    </x:row>
    <x:row r="256">
      <x:c r="A256" s="538" t="n"/>
      <x:c r="B256" s="524"/>
      <x:c r="C256" s="524"/>
      <x:c r="D256" s="524"/>
      <x:c r="E256" s="524"/>
      <x:c r="F256" s="551" t="n"/>
      <x:c r="G256" s="524"/>
      <x:c r="H256" s="524"/>
      <x:c r="I256" s="524"/>
      <x:c r="J256" s="524"/>
    </x:row>
    <x:row r="257">
      <x:c r="A257" s="538" t="n"/>
      <x:c r="B257" s="524"/>
      <x:c r="C257" s="524"/>
      <x:c r="D257" s="524"/>
      <x:c r="E257" s="524"/>
      <x:c r="F257" s="551" t="n"/>
      <x:c r="G257" s="524"/>
      <x:c r="H257" s="524"/>
      <x:c r="I257" s="524"/>
      <x:c r="J257" s="524"/>
    </x:row>
    <x:row r="258">
      <x:c r="A258" s="538" t="n"/>
      <x:c r="B258" s="524"/>
      <x:c r="C258" s="524"/>
      <x:c r="D258" s="524"/>
      <x:c r="E258" s="524"/>
      <x:c r="F258" s="551" t="n"/>
      <x:c r="G258" s="524"/>
      <x:c r="H258" s="524"/>
      <x:c r="I258" s="524"/>
      <x:c r="J258" s="524"/>
    </x:row>
    <x:row r="259">
      <x:c r="A259" s="538" t="n"/>
      <x:c r="B259" s="524"/>
      <x:c r="C259" s="524"/>
      <x:c r="D259" s="524"/>
      <x:c r="E259" s="524"/>
      <x:c r="F259" s="551" t="n"/>
      <x:c r="G259" s="524"/>
      <x:c r="H259" s="524"/>
      <x:c r="I259" s="524"/>
      <x:c r="J259" s="524"/>
    </x:row>
    <x:row r="260">
      <x:c r="A260" s="538" t="n"/>
      <x:c r="B260" s="524"/>
      <x:c r="C260" s="524"/>
      <x:c r="D260" s="524"/>
      <x:c r="E260" s="524"/>
      <x:c r="F260" s="551" t="n"/>
      <x:c r="G260" s="524"/>
      <x:c r="H260" s="524"/>
      <x:c r="I260" s="524"/>
      <x:c r="J260" s="524"/>
    </x:row>
    <x:row r="261">
      <x:c r="A261" s="538" t="n"/>
      <x:c r="B261" s="524"/>
      <x:c r="C261" s="524"/>
      <x:c r="D261" s="524"/>
      <x:c r="E261" s="524"/>
      <x:c r="F261" s="551" t="n"/>
      <x:c r="G261" s="524"/>
      <x:c r="H261" s="524"/>
      <x:c r="I261" s="524"/>
      <x:c r="J261" s="524"/>
    </x:row>
    <x:row r="262">
      <x:c r="A262" s="538" t="n"/>
      <x:c r="B262" s="524"/>
      <x:c r="C262" s="524"/>
      <x:c r="D262" s="524"/>
      <x:c r="E262" s="524"/>
      <x:c r="F262" s="551" t="n"/>
      <x:c r="G262" s="524"/>
      <x:c r="H262" s="524"/>
      <x:c r="I262" s="524"/>
      <x:c r="J262" s="524"/>
    </x:row>
    <x:row r="263">
      <x:c r="A263" s="538" t="n"/>
      <x:c r="B263" s="524"/>
      <x:c r="C263" s="524"/>
      <x:c r="D263" s="524"/>
      <x:c r="E263" s="524"/>
      <x:c r="F263" s="551" t="n"/>
      <x:c r="G263" s="524"/>
      <x:c r="H263" s="524"/>
      <x:c r="I263" s="524"/>
      <x:c r="J263" s="524"/>
    </x:row>
    <x:row r="264">
      <x:c r="A264" s="538" t="n"/>
      <x:c r="B264" s="524"/>
      <x:c r="C264" s="524"/>
      <x:c r="D264" s="524"/>
      <x:c r="E264" s="524"/>
      <x:c r="F264" s="551" t="n"/>
      <x:c r="G264" s="524"/>
      <x:c r="H264" s="524"/>
      <x:c r="I264" s="524"/>
      <x:c r="J264" s="524"/>
    </x:row>
    <x:row r="265">
      <x:c r="A265" s="538" t="n"/>
      <x:c r="B265" s="524"/>
      <x:c r="C265" s="524"/>
      <x:c r="D265" s="524"/>
      <x:c r="E265" s="524"/>
      <x:c r="F265" s="551" t="n"/>
      <x:c r="G265" s="524"/>
      <x:c r="H265" s="524"/>
      <x:c r="I265" s="524"/>
      <x:c r="J265" s="524"/>
    </x:row>
    <x:row r="266">
      <x:c r="A266" s="538" t="n"/>
      <x:c r="B266" s="524"/>
      <x:c r="C266" s="524"/>
      <x:c r="D266" s="524"/>
      <x:c r="E266" s="524"/>
      <x:c r="F266" s="551" t="n"/>
      <x:c r="G266" s="524"/>
      <x:c r="H266" s="524"/>
      <x:c r="I266" s="524"/>
      <x:c r="J266" s="524"/>
    </x:row>
    <x:row r="267">
      <x:c r="A267" s="538" t="n"/>
      <x:c r="B267" s="524"/>
      <x:c r="C267" s="524"/>
      <x:c r="D267" s="524"/>
      <x:c r="E267" s="524"/>
      <x:c r="F267" s="551" t="n"/>
      <x:c r="G267" s="524"/>
      <x:c r="H267" s="524"/>
      <x:c r="I267" s="524"/>
      <x:c r="J267" s="524"/>
    </x:row>
    <x:row r="268">
      <x:c r="A268" s="538" t="n"/>
      <x:c r="B268" s="524"/>
      <x:c r="C268" s="524"/>
      <x:c r="D268" s="524"/>
      <x:c r="E268" s="524"/>
      <x:c r="F268" s="551" t="n"/>
      <x:c r="G268" s="524"/>
      <x:c r="H268" s="524"/>
      <x:c r="I268" s="524"/>
      <x:c r="J268" s="524"/>
    </x:row>
    <x:row r="269">
      <x:c r="A269" s="538" t="n"/>
      <x:c r="B269" s="524"/>
      <x:c r="C269" s="524"/>
      <x:c r="D269" s="524"/>
      <x:c r="E269" s="524"/>
      <x:c r="F269" s="551" t="n"/>
      <x:c r="G269" s="524"/>
      <x:c r="H269" s="524"/>
      <x:c r="I269" s="524"/>
      <x:c r="J269" s="524"/>
    </x:row>
    <x:row r="270">
      <x:c r="A270" s="538" t="n"/>
      <x:c r="B270" s="524"/>
      <x:c r="C270" s="524"/>
      <x:c r="D270" s="524"/>
      <x:c r="E270" s="524"/>
      <x:c r="F270" s="551" t="n"/>
      <x:c r="G270" s="524"/>
      <x:c r="H270" s="524"/>
      <x:c r="I270" s="524"/>
      <x:c r="J270" s="524"/>
    </x:row>
    <x:row r="271">
      <x:c r="A271" s="538" t="n"/>
      <x:c r="B271" s="524"/>
      <x:c r="C271" s="524"/>
      <x:c r="D271" s="524"/>
      <x:c r="E271" s="524"/>
      <x:c r="F271" s="551" t="n"/>
      <x:c r="G271" s="524"/>
      <x:c r="H271" s="524"/>
      <x:c r="I271" s="524"/>
      <x:c r="J271" s="524"/>
    </x:row>
    <x:row r="272">
      <x:c r="A272" s="538" t="n"/>
      <x:c r="B272" s="524"/>
      <x:c r="C272" s="524"/>
      <x:c r="D272" s="524"/>
      <x:c r="E272" s="524"/>
      <x:c r="F272" s="551" t="n"/>
      <x:c r="G272" s="524"/>
      <x:c r="H272" s="524"/>
      <x:c r="I272" s="524"/>
      <x:c r="J272" s="524"/>
    </x:row>
    <x:row r="273">
      <x:c r="A273" s="538" t="n"/>
      <x:c r="B273" s="524"/>
      <x:c r="C273" s="524"/>
      <x:c r="D273" s="524"/>
      <x:c r="E273" s="524"/>
      <x:c r="F273" s="551" t="n"/>
      <x:c r="G273" s="524"/>
      <x:c r="H273" s="524"/>
      <x:c r="I273" s="524"/>
      <x:c r="J273" s="524"/>
    </x:row>
    <x:row r="274">
      <x:c r="A274" s="538" t="n"/>
      <x:c r="B274" s="524"/>
      <x:c r="C274" s="524"/>
      <x:c r="D274" s="524"/>
      <x:c r="E274" s="524"/>
      <x:c r="F274" s="551" t="n"/>
      <x:c r="G274" s="524"/>
      <x:c r="H274" s="524"/>
      <x:c r="I274" s="524"/>
      <x:c r="J274" s="524"/>
    </x:row>
    <x:row r="275">
      <x:c r="A275" s="538" t="n"/>
      <x:c r="B275" s="524"/>
      <x:c r="C275" s="524"/>
      <x:c r="D275" s="524"/>
      <x:c r="E275" s="524"/>
      <x:c r="F275" s="551" t="n"/>
      <x:c r="G275" s="524"/>
      <x:c r="H275" s="524"/>
      <x:c r="I275" s="524"/>
      <x:c r="J275" s="524"/>
    </x:row>
    <x:row r="276">
      <x:c r="A276" s="538" t="n"/>
      <x:c r="B276" s="524"/>
      <x:c r="C276" s="524"/>
      <x:c r="D276" s="524"/>
      <x:c r="E276" s="524"/>
      <x:c r="F276" s="551" t="n"/>
      <x:c r="G276" s="524"/>
      <x:c r="H276" s="524"/>
      <x:c r="I276" s="524"/>
      <x:c r="J276" s="524"/>
    </x:row>
    <x:row r="277">
      <x:c r="A277" s="538" t="n"/>
      <x:c r="B277" s="524"/>
      <x:c r="C277" s="524"/>
      <x:c r="D277" s="524"/>
      <x:c r="E277" s="524"/>
      <x:c r="F277" s="551" t="n"/>
      <x:c r="G277" s="524"/>
      <x:c r="H277" s="524"/>
      <x:c r="I277" s="524"/>
      <x:c r="J277" s="524"/>
    </x:row>
    <x:row r="278">
      <x:c r="A278" s="538" t="n"/>
      <x:c r="B278" s="524"/>
      <x:c r="C278" s="524"/>
      <x:c r="D278" s="524"/>
      <x:c r="E278" s="524"/>
      <x:c r="F278" s="551" t="n"/>
      <x:c r="G278" s="524"/>
      <x:c r="H278" s="524"/>
      <x:c r="I278" s="524"/>
      <x:c r="J278" s="524"/>
    </x:row>
    <x:row r="279">
      <x:c r="A279" s="538" t="n"/>
      <x:c r="B279" s="524"/>
      <x:c r="C279" s="524"/>
      <x:c r="D279" s="524"/>
      <x:c r="E279" s="524"/>
      <x:c r="F279" s="551" t="n"/>
      <x:c r="G279" s="524"/>
      <x:c r="H279" s="524"/>
      <x:c r="I279" s="524"/>
      <x:c r="J279" s="524"/>
    </x:row>
    <x:row r="280">
      <x:c r="A280" s="538" t="n"/>
      <x:c r="B280" s="524"/>
      <x:c r="C280" s="524"/>
      <x:c r="D280" s="524"/>
      <x:c r="E280" s="524"/>
      <x:c r="F280" s="551" t="n"/>
      <x:c r="G280" s="524"/>
      <x:c r="H280" s="524"/>
      <x:c r="I280" s="524"/>
      <x:c r="J280" s="524"/>
    </x:row>
    <x:row r="281">
      <x:c r="A281" s="538" t="n"/>
      <x:c r="B281" s="524"/>
      <x:c r="C281" s="524"/>
      <x:c r="D281" s="524"/>
      <x:c r="E281" s="524"/>
      <x:c r="F281" s="551" t="n"/>
      <x:c r="G281" s="524"/>
      <x:c r="H281" s="524"/>
      <x:c r="I281" s="524"/>
      <x:c r="J281" s="524"/>
    </x:row>
    <x:row r="282">
      <x:c r="A282" s="538" t="n"/>
      <x:c r="B282" s="524"/>
      <x:c r="C282" s="524"/>
      <x:c r="D282" s="524"/>
      <x:c r="E282" s="524"/>
      <x:c r="F282" s="551" t="n"/>
      <x:c r="G282" s="524"/>
      <x:c r="H282" s="524"/>
      <x:c r="I282" s="524"/>
      <x:c r="J282" s="524"/>
    </x:row>
    <x:row r="283">
      <x:c r="A283" s="538" t="n"/>
      <x:c r="B283" s="524"/>
      <x:c r="C283" s="524"/>
      <x:c r="D283" s="524"/>
      <x:c r="E283" s="524"/>
      <x:c r="F283" s="551" t="n"/>
      <x:c r="G283" s="524"/>
      <x:c r="H283" s="524"/>
      <x:c r="I283" s="524"/>
      <x:c r="J283" s="524"/>
    </x:row>
    <x:row r="284">
      <x:c r="A284" s="538" t="n"/>
      <x:c r="B284" s="524"/>
      <x:c r="C284" s="524"/>
      <x:c r="D284" s="524"/>
      <x:c r="E284" s="524"/>
      <x:c r="F284" s="551" t="n"/>
      <x:c r="G284" s="524"/>
      <x:c r="H284" s="524"/>
      <x:c r="I284" s="524"/>
      <x:c r="J284" s="524"/>
    </x:row>
    <x:row r="285">
      <x:c r="A285" s="538" t="n"/>
      <x:c r="B285" s="524"/>
      <x:c r="C285" s="524"/>
      <x:c r="D285" s="524"/>
      <x:c r="E285" s="524"/>
      <x:c r="F285" s="551" t="n"/>
      <x:c r="G285" s="524"/>
      <x:c r="H285" s="524"/>
      <x:c r="I285" s="524"/>
      <x:c r="J285" s="524"/>
    </x:row>
    <x:row r="286">
      <x:c r="A286" s="538" t="n"/>
      <x:c r="B286" s="524"/>
      <x:c r="C286" s="524"/>
      <x:c r="D286" s="524"/>
      <x:c r="E286" s="524"/>
      <x:c r="F286" s="551" t="n"/>
      <x:c r="G286" s="524"/>
      <x:c r="H286" s="524"/>
      <x:c r="I286" s="524"/>
      <x:c r="J286" s="524"/>
    </x:row>
    <x:row r="287">
      <x:c r="A287" s="538" t="n"/>
      <x:c r="B287" s="524"/>
      <x:c r="C287" s="524"/>
      <x:c r="D287" s="524"/>
      <x:c r="E287" s="524"/>
      <x:c r="F287" s="551" t="n"/>
      <x:c r="G287" s="524"/>
      <x:c r="H287" s="524"/>
      <x:c r="I287" s="524"/>
      <x:c r="J287" s="524"/>
    </x:row>
    <x:row r="288">
      <x:c r="A288" s="538" t="n"/>
      <x:c r="B288" s="524"/>
      <x:c r="C288" s="524"/>
      <x:c r="D288" s="524"/>
      <x:c r="E288" s="524"/>
      <x:c r="F288" s="551" t="n"/>
      <x:c r="G288" s="524"/>
      <x:c r="H288" s="524"/>
      <x:c r="I288" s="524"/>
      <x:c r="J288" s="524"/>
    </x:row>
    <x:row r="289">
      <x:c r="A289" s="538" t="n"/>
      <x:c r="B289" s="524"/>
      <x:c r="C289" s="524"/>
      <x:c r="D289" s="524"/>
      <x:c r="E289" s="524"/>
      <x:c r="F289" s="551" t="n"/>
      <x:c r="G289" s="524"/>
      <x:c r="H289" s="524"/>
      <x:c r="I289" s="524"/>
      <x:c r="J289" s="524"/>
    </x:row>
    <x:row r="290">
      <x:c r="A290" s="538" t="n"/>
      <x:c r="B290" s="524"/>
      <x:c r="C290" s="524"/>
      <x:c r="D290" s="524"/>
      <x:c r="E290" s="524"/>
      <x:c r="F290" s="551" t="n"/>
      <x:c r="G290" s="524"/>
      <x:c r="H290" s="524"/>
      <x:c r="I290" s="524"/>
      <x:c r="J290" s="524"/>
    </x:row>
    <x:row r="291">
      <x:c r="A291" s="538" t="n"/>
      <x:c r="B291" s="524"/>
      <x:c r="C291" s="524"/>
      <x:c r="D291" s="524"/>
      <x:c r="E291" s="524"/>
      <x:c r="F291" s="551" t="n"/>
      <x:c r="G291" s="524"/>
      <x:c r="H291" s="524"/>
      <x:c r="I291" s="524"/>
      <x:c r="J291" s="524"/>
    </x:row>
    <x:row r="292">
      <x:c r="A292" s="538" t="n"/>
      <x:c r="B292" s="524"/>
      <x:c r="C292" s="524"/>
      <x:c r="D292" s="524"/>
      <x:c r="E292" s="524"/>
      <x:c r="F292" s="551" t="n"/>
      <x:c r="G292" s="524"/>
      <x:c r="H292" s="524"/>
      <x:c r="I292" s="524"/>
      <x:c r="J292" s="524"/>
    </x:row>
    <x:row r="293">
      <x:c r="A293" s="538" t="n"/>
      <x:c r="B293" s="524"/>
      <x:c r="C293" s="524"/>
      <x:c r="D293" s="524"/>
      <x:c r="E293" s="524"/>
      <x:c r="F293" s="551" t="n"/>
      <x:c r="G293" s="524"/>
      <x:c r="H293" s="524"/>
      <x:c r="I293" s="524"/>
      <x:c r="J293" s="524"/>
    </x:row>
    <x:row r="294">
      <x:c r="A294" s="538" t="n"/>
      <x:c r="B294" s="524"/>
      <x:c r="C294" s="524"/>
      <x:c r="D294" s="524"/>
      <x:c r="E294" s="524"/>
      <x:c r="F294" s="551" t="n"/>
      <x:c r="G294" s="524"/>
      <x:c r="H294" s="524"/>
      <x:c r="I294" s="524"/>
      <x:c r="J294" s="524"/>
    </x:row>
    <x:row r="295">
      <x:c r="A295" s="538" t="n"/>
      <x:c r="B295" s="524"/>
      <x:c r="C295" s="524"/>
      <x:c r="D295" s="524"/>
      <x:c r="E295" s="524"/>
      <x:c r="F295" s="551" t="n"/>
      <x:c r="G295" s="524"/>
      <x:c r="H295" s="524"/>
      <x:c r="I295" s="524"/>
      <x:c r="J295" s="524"/>
    </x:row>
    <x:row r="296">
      <x:c r="A296" s="538" t="n"/>
      <x:c r="B296" s="524"/>
      <x:c r="C296" s="524"/>
      <x:c r="D296" s="524"/>
      <x:c r="E296" s="524"/>
      <x:c r="F296" s="551" t="n"/>
      <x:c r="G296" s="524"/>
      <x:c r="H296" s="524"/>
      <x:c r="I296" s="524"/>
      <x:c r="J296" s="524"/>
    </x:row>
    <x:row r="297">
      <x:c r="A297" s="538" t="n"/>
      <x:c r="B297" s="524"/>
      <x:c r="C297" s="524"/>
      <x:c r="D297" s="524"/>
      <x:c r="E297" s="524"/>
      <x:c r="F297" s="551" t="n"/>
      <x:c r="G297" s="524"/>
      <x:c r="H297" s="524"/>
      <x:c r="I297" s="524"/>
      <x:c r="J297" s="524"/>
    </x:row>
    <x:row r="298">
      <x:c r="A298" s="538" t="n"/>
      <x:c r="B298" s="524"/>
      <x:c r="C298" s="524"/>
      <x:c r="D298" s="524"/>
      <x:c r="E298" s="524"/>
      <x:c r="F298" s="551" t="n"/>
      <x:c r="G298" s="524"/>
      <x:c r="H298" s="524"/>
      <x:c r="I298" s="524"/>
      <x:c r="J298" s="524"/>
    </x:row>
    <x:row r="299">
      <x:c r="A299" s="538" t="n"/>
      <x:c r="B299" s="524"/>
      <x:c r="C299" s="524"/>
      <x:c r="D299" s="524"/>
      <x:c r="E299" s="524"/>
      <x:c r="F299" s="551" t="n"/>
      <x:c r="G299" s="524"/>
      <x:c r="H299" s="524"/>
      <x:c r="I299" s="524"/>
      <x:c r="J299" s="524"/>
    </x:row>
    <x:row r="300">
      <x:c r="A300" s="538" t="n"/>
      <x:c r="B300" s="524"/>
      <x:c r="C300" s="524"/>
      <x:c r="D300" s="524"/>
      <x:c r="E300" s="524"/>
      <x:c r="F300" s="551" t="n"/>
      <x:c r="G300" s="524"/>
      <x:c r="H300" s="524"/>
      <x:c r="I300" s="524"/>
      <x:c r="J300" s="524"/>
    </x:row>
    <x:row r="301">
      <x:c r="A301" s="538" t="n"/>
      <x:c r="B301" s="524"/>
      <x:c r="C301" s="524"/>
      <x:c r="D301" s="524"/>
      <x:c r="E301" s="524"/>
      <x:c r="F301" s="551" t="n"/>
      <x:c r="G301" s="524"/>
      <x:c r="H301" s="524"/>
      <x:c r="I301" s="524"/>
      <x:c r="J301" s="524"/>
    </x:row>
    <x:row r="302">
      <x:c r="A302" s="538" t="n"/>
      <x:c r="B302" s="524"/>
      <x:c r="C302" s="524"/>
      <x:c r="D302" s="524"/>
      <x:c r="E302" s="524"/>
      <x:c r="F302" s="551" t="n"/>
      <x:c r="G302" s="524"/>
      <x:c r="H302" s="524"/>
      <x:c r="I302" s="524"/>
      <x:c r="J302" s="524"/>
    </x:row>
    <x:row r="303">
      <x:c r="A303" s="538" t="n"/>
      <x:c r="B303" s="524"/>
      <x:c r="C303" s="524"/>
      <x:c r="D303" s="524"/>
      <x:c r="E303" s="524"/>
      <x:c r="F303" s="551" t="n"/>
      <x:c r="G303" s="524"/>
      <x:c r="H303" s="524"/>
      <x:c r="I303" s="524"/>
      <x:c r="J303" s="524"/>
    </x:row>
  </x:sheetData>
  <x:mergeCells>
    <x:mergeCell ref="A1:J1"/>
  </x:mergeCells>
  <x:dataValidations count="1">
    <x:dataValidation type="list" allowBlank="0" showDropDown="0" showInputMessage="0" showErrorMessage="0" sqref="B4:B303">
      <x:formula1>"Máy in,Nhựa in,Bàn in,Đầu in,Phụ kiện,Dụng cụ,Thiết bị / linh kiện,Khác"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75dfd4c0414d1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.130000114440918" style="14" customWidth="1"/>
    <x:col min="2" max="2" width="16.3799991607666" style="14" customWidth="1"/>
    <x:col min="3" max="3" width="12.5" style="14" customWidth="1"/>
    <x:col min="4" max="4" width="13.630000114440918" style="14" customWidth="1"/>
    <x:col min="5" max="5" width="16.6299991607666" style="14" customWidth="1"/>
    <x:col min="6" max="6" width="10.75" style="14" customWidth="1"/>
    <x:col min="7" max="7" width="8.75" style="14" customWidth="1"/>
  </x:cols>
  <x:sheetData>
    <x:row r="1" s="14" customFormat="1" ht="28" customHeight="1">
      <x:c r="A1" s="548" t="inlineStr">
        <x:is>
          <x:t xml:space="preserve">DANH SÁCH TÀI KHOẢN NGÂN HÀNG NHẬN TIỀN</x:t>
        </x:is>
      </x:c>
      <x:c r="B1" s="524" t="n"/>
      <x:c r="C1" s="524" t="n"/>
      <x:c r="D1" s="524" t="n"/>
      <x:c r="E1" s="524" t="n"/>
      <x:c r="F1" s="524" t="n"/>
      <x:c r="G1" s="524" t="n"/>
    </x:row>
    <x:row r="2">
      <x:c r="A2" s="524"/>
      <x:c r="B2" s="524"/>
      <x:c r="C2" s="524"/>
      <x:c r="D2" s="524"/>
      <x:c r="E2" s="524"/>
      <x:c r="F2" s="524"/>
      <x:c r="G2" s="524"/>
    </x:row>
    <x:row r="3" s="14" customFormat="1" ht="32" customHeight="1">
      <x:c r="A3" s="547" t="inlineStr">
        <x:is>
          <x:t xml:space="preserve">Ngân hàng</x:t>
        </x:is>
      </x:c>
      <x:c r="B3" s="547" t="inlineStr">
        <x:is>
          <x:t xml:space="preserve">Tên chủ tài khoản</x:t>
        </x:is>
      </x:c>
      <x:c r="C3" s="547" t="inlineStr">
        <x:is>
          <x:t xml:space="preserve">Số tài khoản</x:t>
        </x:is>
      </x:c>
      <x:c r="D3" s="547" t="inlineStr">
        <x:is>
          <x:t xml:space="preserve">Loại tài khoản</x:t>
        </x:is>
      </x:c>
      <x:c r="E3" s="547" t="inlineStr">
        <x:is>
          <x:t xml:space="preserve">Mục đích sử dụng</x:t>
        </x:is>
      </x:c>
      <x:c r="F3" s="547" t="inlineStr">
        <x:is>
          <x:t xml:space="preserve">Chi nhánh</x:t>
        </x:is>
      </x:c>
      <x:c r="G3" s="547" t="inlineStr">
        <x:is>
          <x:t xml:space="preserve">Ghi chú</x:t>
        </x:is>
      </x:c>
    </x:row>
  </x:sheetData>
  <x:mergeCells>
    <x:mergeCell ref="A1:G1"/>
  </x:mergeCells>
  <x:dataValidations count="1">
    <x:dataValidation type="list" allowBlank="0" showDropDown="0" showInputMessage="0" showErrorMessage="0" sqref="D4:D303">
      <x:formula1>"Cá nhân,Doanh nghiệp,Ví điện tử,Khác"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658b729fb423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7" style="14" hidden="0" customWidth="1"/>
    <x:col min="2" max="2" width="18" style="14" hidden="0" customWidth="1"/>
    <x:col min="3" max="3" width="3" style="14" hidden="0" customWidth="1"/>
    <x:col min="4" max="4" width="18" style="14" hidden="0" customWidth="1"/>
    <x:col min="5" max="5" width="16" style="14" hidden="0" customWidth="1"/>
    <x:col min="6" max="6" width="16" style="14" hidden="0" customWidth="1"/>
    <x:col min="7" max="7" width="3" style="14" hidden="0" customWidth="1"/>
    <x:col min="8" max="8" width="22" style="14" hidden="0" customWidth="1"/>
    <x:col min="9" max="9" width="16" style="14" hidden="0" customWidth="1"/>
    <x:col min="10" max="10" width="16" style="14" customWidth="1"/>
    <x:col min="11" max="11" width="16" style="14" customWidth="1"/>
  </x:cols>
  <x:sheetData>
    <x:row r="1" s="14" customFormat="1" ht="30" customHeight="1">
      <x:c r="A1" s="570" t="str">
        <x:v>3DTR — TỔNG QUAN KINH DOANH 3D PRINT</x:v>
      </x:c>
      <x:c r="B1" s="571" t="str">
        <x:v>3DTR — TỔNG QUAN KINH DOANH 3D PRINT</x:v>
      </x:c>
      <x:c r="C1" s="571" t="str">
        <x:v>3DTR — TỔNG QUAN KINH DOANH 3D PRINT</x:v>
      </x:c>
      <x:c r="D1" s="571" t="str">
        <x:v>3DTR — TỔNG QUAN KINH DOANH 3D PRINT</x:v>
      </x:c>
      <x:c r="E1" s="571" t="str">
        <x:v>3DTR — TỔNG QUAN KINH DOANH 3D PRINT</x:v>
      </x:c>
      <x:c r="F1" s="571" t="str">
        <x:v>3DTR — TỔNG QUAN KINH DOANH 3D PRINT</x:v>
      </x:c>
      <x:c r="G1" s="571" t="str">
        <x:v>3DTR — TỔNG QUAN KINH DOANH 3D PRINT</x:v>
      </x:c>
      <x:c r="H1" s="571" t="str">
        <x:v>3DTR — TỔNG QUAN KINH DOANH 3D PRINT</x:v>
      </x:c>
      <x:c r="I1" s="571" t="str">
        <x:v>3DTR — TỔNG QUAN KINH DOANH 3D PRINT</x:v>
      </x:c>
      <x:c r="J1" s="571" t="str">
        <x:v>3DTR — TỔNG QUAN KINH DOANH 3D PRINT</x:v>
      </x:c>
      <x:c r="K1" s="571" t="str">
        <x:v>3DTR — TỔNG QUAN KINH DOANH 3D PRINT</x:v>
      </x:c>
    </x:row>
    <x:row r="2">
      <x:c r="A2" s="573" t="str">
        <x:v>Doanh thu, lợi nhuận, đầu tư và tồn kho — cập nhật tự động từ các sheet vận hành</x:v>
      </x:c>
      <x:c r="B2" s="573"/>
      <x:c r="C2" s="573"/>
      <x:c r="D2" s="573"/>
      <x:c r="E2" s="573"/>
      <x:c r="F2" s="573"/>
      <x:c r="G2" s="573"/>
      <x:c r="H2" s="573"/>
      <x:c r="I2" s="573"/>
      <x:c r="J2" s="573"/>
      <x:c r="K2" s="573"/>
    </x:row>
    <x:row r="3">
      <x:c r="A3" s="575" t="inlineStr">
        <x:is>
          <x:t xml:space="preserve">CHỈ SỐ</x:t>
        </x:is>
      </x:c>
      <x:c r="B3" s="575" t="inlineStr">
        <x:is>
          <x:t xml:space="preserve">GIÁ TRỊ</x:t>
        </x:is>
      </x:c>
      <x:c r="C3" s="524"/>
      <x:c r="D3" s="575" t="inlineStr">
        <x:is>
          <x:t xml:space="preserve">KÊNH</x:t>
        </x:is>
      </x:c>
      <x:c r="E3" s="575" t="inlineStr">
        <x:is>
          <x:t xml:space="preserve">DOANH THU (đ)</x:t>
        </x:is>
      </x:c>
      <x:c r="F3" s="575" t="inlineStr">
        <x:is>
          <x:t xml:space="preserve">LỢI NHUẬN (đ)</x:t>
        </x:is>
      </x:c>
      <x:c r="G3" s="524"/>
      <x:c r="H3" s="575" t="inlineStr">
        <x:is>
          <x:t xml:space="preserve">ĐẦU TƯ</x:t>
        </x:is>
      </x:c>
      <x:c r="I3" s="575" t="inlineStr">
        <x:is>
          <x:t xml:space="preserve">TỔNG (đ)</x:t>
        </x:is>
      </x:c>
      <x:c r="J3" s="524"/>
      <x:c r="K3" s="524"/>
    </x:row>
    <x:row r="4">
      <x:c r="A4" s="578" t="inlineStr">
        <x:is>
          <x:t xml:space="preserve">Tổng doanh thu sản phẩm (đ)</x:t>
        </x:is>
      </x:c>
      <x:c r="B4" s="579" t="n">
        <x:f>SUM('7_Đơn hàng'!J4:J303)</x:f>
        <x:v>0</x:v>
      </x:c>
      <x:c r="C4" s="524"/>
      <x:c r="D4" s="578" t="inlineStr">
        <x:is>
          <x:t xml:space="preserve">TikTok Shop</x:t>
        </x:is>
      </x:c>
      <x:c r="E4" s="585" t="n">
        <x:f>SUMIF('7_Đơn hàng'!$D$4:$D$303,D4,'7_Đơn hàng'!$J$4:$J$303)</x:f>
        <x:v>0</x:v>
      </x:c>
      <x:c r="F4" s="579" t="n">
        <x:f>SUMIF('7_Đơn hàng'!$D$4:$D$303,D4,'7_Đơn hàng'!$T$4:$T$303)</x:f>
        <x:v>0</x:v>
      </x:c>
      <x:c r="G4" s="524"/>
      <x:c r="H4" s="578" t="inlineStr">
        <x:is>
          <x:t xml:space="preserve">Máy in</x:t>
        </x:is>
      </x:c>
      <x:c r="I4" s="579" t="n">
        <x:f>SUMIF('12_Đầu tư'!$B$4:$B$303,H4,'12_Đầu tư'!$F$4:$F$303)</x:f>
        <x:v>0</x:v>
      </x:c>
      <x:c r="J4" s="524"/>
      <x:c r="K4" s="524"/>
    </x:row>
    <x:row r="5">
      <x:c r="A5" s="580" t="inlineStr">
        <x:is>
          <x:t xml:space="preserve">Tổng phí sàn + thanh toán (đ)</x:t>
        </x:is>
      </x:c>
      <x:c r="B5" s="581" t="n">
        <x:f>SUM('7_Đơn hàng'!K4:K303)+SUM('7_Đơn hàng'!L4:L303)</x:f>
        <x:v>0</x:v>
      </x:c>
      <x:c r="C5" s="524"/>
      <x:c r="D5" s="580" t="inlineStr">
        <x:is>
          <x:t xml:space="preserve">Shopee</x:t>
        </x:is>
      </x:c>
      <x:c r="E5" s="586" t="n">
        <x:f>SUMIF('7_Đơn hàng'!$D$4:$D$303,D5,'7_Đơn hàng'!$J$4:$J$303)</x:f>
        <x:v>0</x:v>
      </x:c>
      <x:c r="F5" s="581" t="n">
        <x:f>SUMIF('7_Đơn hàng'!$D$4:$D$303,D5,'7_Đơn hàng'!$T$4:$T$303)</x:f>
        <x:v>0</x:v>
      </x:c>
      <x:c r="G5" s="524"/>
      <x:c r="H5" s="580" t="inlineStr">
        <x:is>
          <x:t xml:space="preserve">Nhựa in</x:t>
        </x:is>
      </x:c>
      <x:c r="I5" s="581" t="n">
        <x:f>SUMIF('12_Đầu tư'!$B$4:$B$303,H5,'12_Đầu tư'!$F$4:$F$303)</x:f>
        <x:v>0</x:v>
      </x:c>
      <x:c r="J5" s="524"/>
      <x:c r="K5" s="524"/>
    </x:row>
    <x:row r="6">
      <x:c r="A6" s="580" t="inlineStr">
        <x:is>
          <x:t xml:space="preserve">Tổng ship mình trả (đ)</x:t>
        </x:is>
      </x:c>
      <x:c r="B6" s="581" t="n">
        <x:f>SUM('7_Đơn hàng'!N4:N303)</x:f>
        <x:v>0</x:v>
      </x:c>
      <x:c r="C6" s="524"/>
      <x:c r="D6" s="580" t="inlineStr">
        <x:is>
          <x:t xml:space="preserve">Lazada</x:t>
        </x:is>
      </x:c>
      <x:c r="E6" s="586" t="n">
        <x:f>SUMIF('7_Đơn hàng'!$D$4:$D$303,D6,'7_Đơn hàng'!$J$4:$J$303)</x:f>
        <x:v>0</x:v>
      </x:c>
      <x:c r="F6" s="581" t="n">
        <x:f>SUMIF('7_Đơn hàng'!$D$4:$D$303,D6,'7_Đơn hàng'!$T$4:$T$303)</x:f>
        <x:v>0</x:v>
      </x:c>
      <x:c r="G6" s="524"/>
      <x:c r="H6" s="580" t="inlineStr">
        <x:is>
          <x:t xml:space="preserve">Bàn in</x:t>
        </x:is>
      </x:c>
      <x:c r="I6" s="581" t="n">
        <x:f>SUMIF('12_Đầu tư'!$B$4:$B$303,H6,'12_Đầu tư'!$F$4:$F$303)</x:f>
        <x:v>0</x:v>
      </x:c>
      <x:c r="J6" s="524"/>
      <x:c r="K6" s="524"/>
    </x:row>
    <x:row r="7">
      <x:c r="A7" s="580" t="inlineStr">
        <x:is>
          <x:t xml:space="preserve">Tổng COST sản phẩm đã bán (đ)</x:t>
        </x:is>
      </x:c>
      <x:c r="B7" s="581" t="n">
        <x:f>SUM('7_Đơn hàng'!R4:R303)</x:f>
        <x:v>0</x:v>
      </x:c>
      <x:c r="C7" s="524"/>
      <x:c r="D7" s="580" t="inlineStr">
        <x:is>
          <x:t xml:space="preserve">Facebook</x:t>
        </x:is>
      </x:c>
      <x:c r="E7" s="586" t="n">
        <x:f>SUMIF('7_Đơn hàng'!$D$4:$D$303,D7,'7_Đơn hàng'!$J$4:$J$303)</x:f>
        <x:v>0</x:v>
      </x:c>
      <x:c r="F7" s="581" t="n">
        <x:f>SUMIF('7_Đơn hàng'!$D$4:$D$303,D7,'7_Đơn hàng'!$T$4:$T$303)</x:f>
        <x:v>0</x:v>
      </x:c>
      <x:c r="G7" s="524"/>
      <x:c r="H7" s="580" t="inlineStr">
        <x:is>
          <x:t xml:space="preserve">Đầu in</x:t>
        </x:is>
      </x:c>
      <x:c r="I7" s="581" t="n">
        <x:f>SUMIF('12_Đầu tư'!$B$4:$B$303,H7,'12_Đầu tư'!$F$4:$F$303)</x:f>
        <x:v>0</x:v>
      </x:c>
      <x:c r="J7" s="524"/>
      <x:c r="K7" s="524"/>
    </x:row>
    <x:row r="8">
      <x:c r="A8" s="580" t="inlineStr">
        <x:is>
          <x:t xml:space="preserve">Lợi nhuận ròng (đ)</x:t>
        </x:is>
      </x:c>
      <x:c r="B8" s="581" t="n">
        <x:f>SUM('7_Đơn hàng'!T4:T303)</x:f>
        <x:v>0</x:v>
      </x:c>
      <x:c r="C8" s="524"/>
      <x:c r="D8" s="580" t="inlineStr">
        <x:is>
          <x:t xml:space="preserve">Zalo</x:t>
        </x:is>
      </x:c>
      <x:c r="E8" s="586" t="n">
        <x:f>SUMIF('7_Đơn hàng'!$D$4:$D$303,D8,'7_Đơn hàng'!$J$4:$J$303)</x:f>
        <x:v>0</x:v>
      </x:c>
      <x:c r="F8" s="581" t="n">
        <x:f>SUMIF('7_Đơn hàng'!$D$4:$D$303,D8,'7_Đơn hàng'!$T$4:$T$303)</x:f>
        <x:v>0</x:v>
      </x:c>
      <x:c r="G8" s="524"/>
      <x:c r="H8" s="580" t="inlineStr">
        <x:is>
          <x:t xml:space="preserve">Phụ kiện</x:t>
        </x:is>
      </x:c>
      <x:c r="I8" s="581" t="n">
        <x:f>SUMIF('12_Đầu tư'!$B$4:$B$303,H8,'12_Đầu tư'!$F$4:$F$303)</x:f>
        <x:v>0</x:v>
      </x:c>
      <x:c r="J8" s="524"/>
      <x:c r="K8" s="524"/>
    </x:row>
    <x:row r="9">
      <x:c r="A9" s="580" t="inlineStr">
        <x:is>
          <x:t xml:space="preserve">Tổng tiền đã rút về ngân hàng (đ)</x:t>
        </x:is>
      </x:c>
      <x:c r="B9" s="581" t="n">
        <x:f>SUM('8_Rút tiền'!D4:D303)</x:f>
        <x:v>0</x:v>
      </x:c>
      <x:c r="C9" s="524"/>
      <x:c r="D9" s="580" t="inlineStr">
        <x:is>
          <x:t xml:space="preserve">Website</x:t>
        </x:is>
      </x:c>
      <x:c r="E9" s="586" t="n">
        <x:f>SUMIF('7_Đơn hàng'!$D$4:$D$303,D9,'7_Đơn hàng'!$J$4:$J$303)</x:f>
        <x:v>0</x:v>
      </x:c>
      <x:c r="F9" s="581" t="n">
        <x:f>SUMIF('7_Đơn hàng'!$D$4:$D$303,D9,'7_Đơn hàng'!$T$4:$T$303)</x:f>
        <x:v>0</x:v>
      </x:c>
      <x:c r="G9" s="524"/>
      <x:c r="H9" s="580" t="inlineStr">
        <x:is>
          <x:t xml:space="preserve">Dụng cụ</x:t>
        </x:is>
      </x:c>
      <x:c r="I9" s="581" t="n">
        <x:f>SUMIF('12_Đầu tư'!$B$4:$B$303,H9,'12_Đầu tư'!$F$4:$F$303)</x:f>
        <x:v>0</x:v>
      </x:c>
      <x:c r="J9" s="524"/>
      <x:c r="K9" s="524"/>
    </x:row>
    <x:row r="10">
      <x:c r="A10" s="580" t="inlineStr">
        <x:is>
          <x:t xml:space="preserve">Tổng đầu tư đã ghi nhận (đ)</x:t>
        </x:is>
      </x:c>
      <x:c r="B10" s="581" t="n">
        <x:f>SUM('12_Đầu tư'!F4:F303)</x:f>
        <x:v>0</x:v>
      </x:c>
      <x:c r="C10" s="524"/>
      <x:c r="D10" s="583" t="inlineStr">
        <x:is>
          <x:t xml:space="preserve">Khác</x:t>
        </x:is>
      </x:c>
      <x:c r="E10" s="587" t="n">
        <x:f>SUMIF('7_Đơn hàng'!$D$4:$D$303,D10,'7_Đơn hàng'!$J$4:$J$303)</x:f>
        <x:v>0</x:v>
      </x:c>
      <x:c r="F10" s="588" t="n">
        <x:f>SUMIF('7_Đơn hàng'!$D$4:$D$303,D10,'7_Đơn hàng'!$T$4:$T$303)</x:f>
        <x:v>0</x:v>
      </x:c>
      <x:c r="G10" s="524"/>
      <x:c r="H10" s="580" t="inlineStr">
        <x:is>
          <x:t xml:space="preserve">Thiết bị / linh kiện</x:t>
        </x:is>
      </x:c>
      <x:c r="I10" s="581" t="n">
        <x:f>SUMIF('12_Đầu tư'!$B$4:$B$303,H10,'12_Đầu tư'!$F$4:$F$303)</x:f>
        <x:v>0</x:v>
      </x:c>
      <x:c r="J10" s="524"/>
      <x:c r="K10" s="524"/>
    </x:row>
    <x:row r="11">
      <x:c r="A11" s="580" t="inlineStr">
        <x:is>
          <x:t xml:space="preserve">Số đơn hàng</x:t>
        </x:is>
      </x:c>
      <x:c r="B11" s="582" t="n">
        <x:f>COUNTIF('7_Đơn hàng'!A4:A303,"&lt;&gt;")</x:f>
        <x:v>0</x:v>
      </x:c>
      <x:c r="C11" s="524"/>
      <x:c r="D11" s="524"/>
      <x:c r="E11" s="524"/>
      <x:c r="F11" s="524"/>
      <x:c r="G11" s="524"/>
      <x:c r="H11" s="583" t="inlineStr">
        <x:is>
          <x:t xml:space="preserve">Khác</x:t>
        </x:is>
      </x:c>
      <x:c r="I11" s="588" t="n">
        <x:f>SUMIF('12_Đầu tư'!$B$4:$B$303,H11,'12_Đầu tư'!$F$4:$F$303)</x:f>
        <x:v>0</x:v>
      </x:c>
      <x:c r="J11" s="524"/>
      <x:c r="K11" s="524"/>
    </x:row>
    <x:row r="12">
      <x:c r="A12" s="580" t="inlineStr">
        <x:is>
          <x:t xml:space="preserve">Số khách hàng</x:t>
        </x:is>
      </x:c>
      <x:c r="B12" s="582" t="n">
        <x:f>COUNTIF('11_Khách hàng'!A4:A303,"&lt;&gt;")</x:f>
        <x:v>0</x:v>
      </x:c>
      <x:c r="C12" s="524"/>
      <x:c r="D12" s="524"/>
      <x:c r="E12" s="524"/>
      <x:c r="F12" s="524"/>
      <x:c r="G12" s="524"/>
      <x:c r="H12" s="524"/>
      <x:c r="I12" s="524"/>
      <x:c r="J12" s="524"/>
      <x:c r="K12" s="524"/>
    </x:row>
    <x:row r="13">
      <x:c r="A13" s="580" t="str">
        <x:v>Cuộn nhựa dưới 500 g</x:v>
      </x:c>
      <x:c r="B13" s="582" t="n">
        <x:f>COUNTIFS('10_Kho nhựa'!A4:A303,"&lt;&gt;",'10_Kho nhựa'!K4:K303,"&lt;500")</x:f>
        <x:v>0</x:v>
      </x:c>
      <x:c r="C13" s="524"/>
      <x:c r="D13" s="524"/>
      <x:c r="E13" s="524"/>
      <x:c r="F13" s="524"/>
      <x:c r="G13" s="524"/>
      <x:c r="H13" s="524"/>
      <x:c r="I13" s="524"/>
      <x:c r="J13" s="524"/>
      <x:c r="K13" s="524"/>
    </x:row>
    <x:row r="14">
      <x:c r="A14" s="583" t="str">
        <x:v>Biên lợi nhuận ròng</x:v>
      </x:c>
      <x:c r="B14" s="584" t="str">
        <x:f>IF(B4=0,"",B8/B4)</x:f>
      </x:c>
      <x:c r="C14" s="524"/>
      <x:c r="D14" s="524"/>
      <x:c r="E14" s="524"/>
      <x:c r="F14" s="524"/>
      <x:c r="G14" s="524"/>
      <x:c r="H14" s="524"/>
      <x:c r="I14" s="524"/>
      <x:c r="J14" s="524"/>
      <x:c r="K14" s="52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31">
      <x:c r="A31" s="592" t="str">
        <x:v>Quy ước lợi nhuận: doanh thu sản phẩm + ship khách trả − phí sàn − phí thanh toán − ship mình trả − COST. Tiền rút về ngân hàng là dòng tiền, không phải doanh thu mới.</x:v>
      </x:c>
      <x:c r="B31" s="592"/>
      <x:c r="C31" s="592"/>
      <x:c r="D31" s="592"/>
      <x:c r="E31" s="592"/>
      <x:c r="F31" s="592"/>
      <x:c r="G31" s="592"/>
      <x:c r="H31" s="592"/>
      <x:c r="I31" s="592"/>
      <x:c r="J31" s="592"/>
      <x:c r="K31" s="592"/>
    </x:row>
    <x:row r="32">
      <x:c r="A32" s="592"/>
      <x:c r="B32" s="592"/>
      <x:c r="C32" s="592"/>
      <x:c r="D32" s="592"/>
      <x:c r="E32" s="592"/>
      <x:c r="F32" s="592"/>
      <x:c r="G32" s="592"/>
      <x:c r="H32" s="592"/>
      <x:c r="I32" s="592"/>
      <x:c r="J32" s="592"/>
      <x:c r="K32" s="592"/>
    </x:row>
  </x:sheetData>
  <x:mergeCells>
    <x:mergeCell ref="A1:K1"/>
    <x:mergeCell ref="A2:K2"/>
    <x:mergeCell ref="A31:K32"/>
  </x:mergeCells>
  <x:conditionalFormatting sqref="B13:B13">
    <x:cfRule type="cellIs" dxfId="1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4657d96574264ba6"/>
</x:worksheet>
</file>

<file path=xl/worksheets/sheet1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0" style="14" customWidth="1"/>
    <x:col min="2" max="2" width="22" style="14" customWidth="1"/>
    <x:col min="3" max="3" width="30" style="14" customWidth="1"/>
    <x:col min="4" max="4" width="42" style="14" customWidth="1"/>
  </x:cols>
  <x:sheetData>
    <x:row r="1" s="14" customFormat="1" ht="28" customHeight="1">
      <x:c r="A1" s="523" t="inlineStr">
        <x:is>
          <x:t xml:space="preserve">DANH MỤC HÃNG NHỰA IN 3D</x:t>
        </x:is>
      </x:c>
      <x:c r="B1" s="524" t="n"/>
      <x:c r="C1" s="524" t="n"/>
      <x:c r="D1" s="524" t="n"/>
    </x:row>
    <x:row r="2">
      <x:c r="A2" s="524" t="inlineStr">
        <x:is>
          <x:t xml:space="preserve">Hãng nhựa</x:t>
        </x:is>
      </x:c>
      <x:c r="B2" s="524" t="inlineStr">
        <x:is>
          <x:t xml:space="preserve">Nhóm / nguồn tham khảo</x:t>
        </x:is>
      </x:c>
      <x:c r="C2" s="524" t="inlineStr">
        <x:is>
          <x:t xml:space="preserve">Loại nhựa phổ biến</x:t>
        </x:is>
      </x:c>
      <x:c r="D2" s="524" t="inlineStr">
        <x:is>
          <x:t xml:space="preserve">Ghi chú</x:t>
        </x:is>
      </x:c>
    </x:row>
    <x:row r="3">
      <x:c r="A3" s="555" t="inlineStr">
        <x:is>
          <x:t xml:space="preserve">Bambu Lab</x:t>
        </x:is>
      </x:c>
      <x:c r="B3" s="555" t="inlineStr">
        <x:is>
          <x:t xml:space="preserve">Quốc tế</x:t>
        </x:is>
      </x:c>
      <x:c r="C3" s="555" t="inlineStr">
        <x:is>
          <x:t xml:space="preserve">PLA, PETG, ABS, TPU</x:t>
        </x:is>
      </x:c>
      <x:c r="D3" s="555" t="inlineStr">
        <x:is>
          <x:t xml:space="preserve">Dùng theo dòng sản phẩm thực tế.</x:t>
        </x:is>
      </x:c>
    </x:row>
    <x:row r="4">
      <x:c r="A4" s="555" t="inlineStr">
        <x:is>
          <x:t xml:space="preserve">eSUN</x:t>
        </x:is>
      </x:c>
      <x:c r="B4" s="555" t="inlineStr">
        <x:is>
          <x:t xml:space="preserve">Quốc tế</x:t>
        </x:is>
      </x:c>
      <x:c r="C4" s="555" t="inlineStr">
        <x:is>
          <x:t xml:space="preserve">PLA, PETG, ABS, TPU</x:t>
        </x:is>
      </x:c>
      <x:c r="D4" s="555" t="inlineStr">
        <x:is>
          <x:t xml:space="preserve"/>
        </x:is>
      </x:c>
    </x:row>
    <x:row r="5">
      <x:c r="A5" s="555" t="inlineStr">
        <x:is>
          <x:t xml:space="preserve">SUNLU</x:t>
        </x:is>
      </x:c>
      <x:c r="B5" s="555" t="inlineStr">
        <x:is>
          <x:t xml:space="preserve">Quốc tế</x:t>
        </x:is>
      </x:c>
      <x:c r="C5" s="555" t="inlineStr">
        <x:is>
          <x:t xml:space="preserve">PLA, PETG, ABS, TPU</x:t>
        </x:is>
      </x:c>
      <x:c r="D5" s="555" t="inlineStr">
        <x:is>
          <x:t xml:space="preserve"/>
        </x:is>
      </x:c>
    </x:row>
    <x:row r="6">
      <x:c r="A6" s="555" t="inlineStr">
        <x:is>
          <x:t xml:space="preserve">Polymaker</x:t>
        </x:is>
      </x:c>
      <x:c r="B6" s="555" t="inlineStr">
        <x:is>
          <x:t xml:space="preserve">Quốc tế</x:t>
        </x:is>
      </x:c>
      <x:c r="C6" s="555" t="inlineStr">
        <x:is>
          <x:t xml:space="preserve">PLA, PETG, ABS, TPU, PA</x:t>
        </x:is>
      </x:c>
      <x:c r="D6" s="555" t="inlineStr">
        <x:is>
          <x:t xml:space="preserve"/>
        </x:is>
      </x:c>
    </x:row>
    <x:row r="7">
      <x:c r="A7" s="555" t="inlineStr">
        <x:is>
          <x:t xml:space="preserve">Overture</x:t>
        </x:is>
      </x:c>
      <x:c r="B7" s="555" t="inlineStr">
        <x:is>
          <x:t xml:space="preserve">Quốc tế</x:t>
        </x:is>
      </x:c>
      <x:c r="C7" s="555" t="inlineStr">
        <x:is>
          <x:t xml:space="preserve">PLA, PETG, TPU</x:t>
        </x:is>
      </x:c>
      <x:c r="D7" s="555" t="inlineStr">
        <x:is>
          <x:t xml:space="preserve"/>
        </x:is>
      </x:c>
    </x:row>
    <x:row r="8">
      <x:c r="A8" s="555" t="inlineStr">
        <x:is>
          <x:t xml:space="preserve">Creality</x:t>
        </x:is>
      </x:c>
      <x:c r="B8" s="555" t="inlineStr">
        <x:is>
          <x:t xml:space="preserve">Quốc tế</x:t>
        </x:is>
      </x:c>
      <x:c r="C8" s="555" t="inlineStr">
        <x:is>
          <x:t xml:space="preserve">PLA, PETG, ABS, TPU</x:t>
        </x:is>
      </x:c>
      <x:c r="D8" s="555" t="inlineStr">
        <x:is>
          <x:t xml:space="preserve"/>
        </x:is>
      </x:c>
    </x:row>
    <x:row r="9">
      <x:c r="A9" s="555" t="inlineStr">
        <x:is>
          <x:t xml:space="preserve">ELEGOO</x:t>
        </x:is>
      </x:c>
      <x:c r="B9" s="555" t="inlineStr">
        <x:is>
          <x:t xml:space="preserve">Quốc tế</x:t>
        </x:is>
      </x:c>
      <x:c r="C9" s="555" t="inlineStr">
        <x:is>
          <x:t xml:space="preserve">PLA, PETG, ABS, TPU</x:t>
        </x:is>
      </x:c>
      <x:c r="D9" s="555" t="inlineStr">
        <x:is>
          <x:t xml:space="preserve"/>
        </x:is>
      </x:c>
    </x:row>
    <x:row r="10">
      <x:c r="A10" s="555" t="inlineStr">
        <x:is>
          <x:t xml:space="preserve">Anycubic</x:t>
        </x:is>
      </x:c>
      <x:c r="B10" s="555" t="inlineStr">
        <x:is>
          <x:t xml:space="preserve">Quốc tế</x:t>
        </x:is>
      </x:c>
      <x:c r="C10" s="555" t="inlineStr">
        <x:is>
          <x:t xml:space="preserve">PLA, PETG, ABS, TPU</x:t>
        </x:is>
      </x:c>
      <x:c r="D10" s="555" t="inlineStr">
        <x:is>
          <x:t xml:space="preserve"/>
        </x:is>
      </x:c>
    </x:row>
    <x:row r="11">
      <x:c r="A11" s="555" t="inlineStr">
        <x:is>
          <x:t xml:space="preserve">Flashforge</x:t>
        </x:is>
      </x:c>
      <x:c r="B11" s="555" t="inlineStr">
        <x:is>
          <x:t xml:space="preserve">Quốc tế</x:t>
        </x:is>
      </x:c>
      <x:c r="C11" s="555" t="inlineStr">
        <x:is>
          <x:t xml:space="preserve">PLA, PETG, ABS, TPU</x:t>
        </x:is>
      </x:c>
      <x:c r="D11" s="555" t="inlineStr">
        <x:is>
          <x:t xml:space="preserve"/>
        </x:is>
      </x:c>
    </x:row>
    <x:row r="12">
      <x:c r="A12" s="555" t="inlineStr">
        <x:is>
          <x:t xml:space="preserve">Prusament</x:t>
        </x:is>
      </x:c>
      <x:c r="B12" s="555" t="inlineStr">
        <x:is>
          <x:t xml:space="preserve">Quốc tế</x:t>
        </x:is>
      </x:c>
      <x:c r="C12" s="555" t="inlineStr">
        <x:is>
          <x:t xml:space="preserve">PLA, PETG, ASA, TPU</x:t>
        </x:is>
      </x:c>
      <x:c r="D12" s="555" t="inlineStr">
        <x:is>
          <x:t xml:space="preserve"/>
        </x:is>
      </x:c>
    </x:row>
    <x:row r="13">
      <x:c r="A13" s="555" t="inlineStr">
        <x:is>
          <x:t xml:space="preserve">ColorFabb</x:t>
        </x:is>
      </x:c>
      <x:c r="B13" s="555" t="inlineStr">
        <x:is>
          <x:t xml:space="preserve">Quốc tế</x:t>
        </x:is>
      </x:c>
      <x:c r="C13" s="555" t="inlineStr">
        <x:is>
          <x:t xml:space="preserve">PLA, PETG, TPU</x:t>
        </x:is>
      </x:c>
      <x:c r="D13" s="555" t="inlineStr">
        <x:is>
          <x:t xml:space="preserve"/>
        </x:is>
      </x:c>
    </x:row>
    <x:row r="14">
      <x:c r="A14" s="555" t="inlineStr">
        <x:is>
          <x:t xml:space="preserve">Fiberlogy</x:t>
        </x:is>
      </x:c>
      <x:c r="B14" s="555" t="inlineStr">
        <x:is>
          <x:t xml:space="preserve">Quốc tế</x:t>
        </x:is>
      </x:c>
      <x:c r="C14" s="555" t="inlineStr">
        <x:is>
          <x:t xml:space="preserve">PLA, PETG, ABS, ASA, TPU</x:t>
        </x:is>
      </x:c>
      <x:c r="D14" s="555" t="inlineStr">
        <x:is>
          <x:t xml:space="preserve"/>
        </x:is>
      </x:c>
    </x:row>
    <x:row r="15">
      <x:c r="A15" s="555" t="inlineStr">
        <x:is>
          <x:t xml:space="preserve">Spectrum</x:t>
        </x:is>
      </x:c>
      <x:c r="B15" s="555" t="inlineStr">
        <x:is>
          <x:t xml:space="preserve">Quốc tế</x:t>
        </x:is>
      </x:c>
      <x:c r="C15" s="555" t="inlineStr">
        <x:is>
          <x:t xml:space="preserve">PLA, PETG, ABS, ASA, TPU</x:t>
        </x:is>
      </x:c>
      <x:c r="D15" s="555" t="inlineStr">
        <x:is>
          <x:t xml:space="preserve"/>
        </x:is>
      </x:c>
    </x:row>
    <x:row r="16">
      <x:c r="A16" s="555" t="inlineStr">
        <x:is>
          <x:t xml:space="preserve">FormFutura</x:t>
        </x:is>
      </x:c>
      <x:c r="B16" s="555" t="inlineStr">
        <x:is>
          <x:t xml:space="preserve">Quốc tế</x:t>
        </x:is>
      </x:c>
      <x:c r="C16" s="555" t="inlineStr">
        <x:is>
          <x:t xml:space="preserve">PLA, PETG, ABS, TPU</x:t>
        </x:is>
      </x:c>
      <x:c r="D16" s="555" t="inlineStr">
        <x:is>
          <x:t xml:space="preserve"/>
        </x:is>
      </x:c>
    </x:row>
    <x:row r="17">
      <x:c r="A17" s="555" t="inlineStr">
        <x:is>
          <x:t xml:space="preserve">3DXTECH</x:t>
        </x:is>
      </x:c>
      <x:c r="B17" s="555" t="inlineStr">
        <x:is>
          <x:t xml:space="preserve">Quốc tế</x:t>
        </x:is>
      </x:c>
      <x:c r="C17" s="555" t="inlineStr">
        <x:is>
          <x:t xml:space="preserve">ABS, ASA, PETG, PA, TPU</x:t>
        </x:is>
      </x:c>
      <x:c r="D17" s="555" t="inlineStr">
        <x:is>
          <x:t xml:space="preserve"/>
        </x:is>
      </x:c>
    </x:row>
    <x:row r="18">
      <x:c r="A18" s="555" t="inlineStr">
        <x:is>
          <x:t xml:space="preserve">HATCHBOX</x:t>
        </x:is>
      </x:c>
      <x:c r="B18" s="555" t="inlineStr">
        <x:is>
          <x:t xml:space="preserve">Quốc tế</x:t>
        </x:is>
      </x:c>
      <x:c r="C18" s="555" t="inlineStr">
        <x:is>
          <x:t xml:space="preserve">PLA, PETG, ABS, TPU</x:t>
        </x:is>
      </x:c>
      <x:c r="D18" s="555" t="inlineStr">
        <x:is>
          <x:t xml:space="preserve"/>
        </x:is>
      </x:c>
    </x:row>
    <x:row r="19">
      <x:c r="A19" s="555" t="inlineStr">
        <x:is>
          <x:t xml:space="preserve">Kingroon</x:t>
        </x:is>
      </x:c>
      <x:c r="B19" s="555" t="inlineStr">
        <x:is>
          <x:t xml:space="preserve">Quốc tế</x:t>
        </x:is>
      </x:c>
      <x:c r="C19" s="555" t="inlineStr">
        <x:is>
          <x:t xml:space="preserve">PLA, PETG, ABS, TPU</x:t>
        </x:is>
      </x:c>
      <x:c r="D19" s="555" t="inlineStr">
        <x:is>
          <x:t xml:space="preserve"/>
        </x:is>
      </x:c>
    </x:row>
    <x:row r="20">
      <x:c r="A20" s="555" t="inlineStr">
        <x:is>
          <x:t xml:space="preserve">Geeetech</x:t>
        </x:is>
      </x:c>
      <x:c r="B20" s="555" t="inlineStr">
        <x:is>
          <x:t xml:space="preserve">Quốc tế</x:t>
        </x:is>
      </x:c>
      <x:c r="C20" s="555" t="inlineStr">
        <x:is>
          <x:t xml:space="preserve">PLA, PETG, ABS, TPU</x:t>
        </x:is>
      </x:c>
      <x:c r="D20" s="555" t="inlineStr">
        <x:is>
          <x:t xml:space="preserve"/>
        </x:is>
      </x:c>
    </x:row>
    <x:row r="21">
      <x:c r="A21" s="555" t="inlineStr">
        <x:is>
          <x:t xml:space="preserve">Raise3D</x:t>
        </x:is>
      </x:c>
      <x:c r="B21" s="555" t="inlineStr">
        <x:is>
          <x:t xml:space="preserve">Quốc tế</x:t>
        </x:is>
      </x:c>
      <x:c r="C21" s="555" t="inlineStr">
        <x:is>
          <x:t xml:space="preserve">PLA, PETG, ABS, TPU</x:t>
        </x:is>
      </x:c>
      <x:c r="D21" s="555" t="inlineStr">
        <x:is>
          <x:t xml:space="preserve"/>
        </x:is>
      </x:c>
    </x:row>
    <x:row r="22">
      <x:c r="A22" s="555" t="inlineStr">
        <x:is>
          <x:t xml:space="preserve">Khác</x:t>
        </x:is>
      </x:c>
      <x:c r="B22" s="555" t="inlineStr">
        <x:is>
          <x:t xml:space="preserve">Tự nhập</x:t>
        </x:is>
      </x:c>
      <x:c r="C22" s="555" t="inlineStr">
        <x:is>
          <x:t xml:space="preserve">Theo nhãn cuộn</x:t>
        </x:is>
      </x:c>
      <x:c r="D22" s="555" t="inlineStr">
        <x:is>
          <x:t xml:space="preserve">Dùng khi hãng chưa có trong danh sách.</x:t>
        </x:is>
      </x:c>
    </x:row>
  </x:sheetData>
  <x:mergeCells>
    <x:mergeCell ref="A1:D1"/>
  </x:mergeCells>
  <x:pageMargins left="0.7" right="0.7" top="0.75" bottom="0.75" header="0.3" footer="0.3"/>
</x:worksheet>
</file>